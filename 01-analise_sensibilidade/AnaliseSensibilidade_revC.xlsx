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8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9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0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b\Downloads\Pesquisa\01-analise_sensibilidade\"/>
    </mc:Choice>
  </mc:AlternateContent>
  <xr:revisionPtr revIDLastSave="0" documentId="13_ncr:1_{91CE32F3-1C41-4B92-B6FA-921311DF45C4}" xr6:coauthVersionLast="47" xr6:coauthVersionMax="47" xr10:uidLastSave="{00000000-0000-0000-0000-000000000000}"/>
  <bookViews>
    <workbookView xWindow="-108" yWindow="-108" windowWidth="23256" windowHeight="12456" activeTab="1" xr2:uid="{9D56243F-FD5C-4BC7-B941-D09407D978BB}"/>
  </bookViews>
  <sheets>
    <sheet name="Limites" sheetId="15" r:id="rId1"/>
    <sheet name="Dados" sheetId="8" r:id="rId2"/>
    <sheet name="Caso1" sheetId="9" r:id="rId3"/>
    <sheet name="Caso2" sheetId="16" r:id="rId4"/>
    <sheet name="Caso3" sheetId="17" r:id="rId5"/>
    <sheet name="Caso4" sheetId="18" r:id="rId6"/>
    <sheet name="Caso5" sheetId="19" r:id="rId7"/>
    <sheet name="Caso6" sheetId="20" r:id="rId8"/>
    <sheet name="Caso7" sheetId="21" r:id="rId9"/>
    <sheet name="Caso8" sheetId="22" r:id="rId10"/>
    <sheet name="Caso9" sheetId="23" r:id="rId11"/>
    <sheet name="Caso10" sheetId="2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8" l="1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AK3" i="8"/>
  <c r="AL3" i="8"/>
  <c r="AM3" i="8"/>
  <c r="AN3" i="8"/>
  <c r="AO3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AK4" i="8"/>
  <c r="AL4" i="8"/>
  <c r="AM4" i="8"/>
  <c r="AN4" i="8"/>
  <c r="AO4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AK5" i="8"/>
  <c r="AL5" i="8"/>
  <c r="AM5" i="8"/>
  <c r="AN5" i="8"/>
  <c r="AO5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AK6" i="8"/>
  <c r="AL6" i="8"/>
  <c r="AM6" i="8"/>
  <c r="AN6" i="8"/>
  <c r="AO6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AK7" i="8"/>
  <c r="AL7" i="8"/>
  <c r="AM7" i="8"/>
  <c r="AN7" i="8"/>
  <c r="AO7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AK8" i="8"/>
  <c r="AL8" i="8"/>
  <c r="AM8" i="8"/>
  <c r="AN8" i="8"/>
  <c r="AO8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AK9" i="8"/>
  <c r="AL9" i="8"/>
  <c r="AM9" i="8"/>
  <c r="AN9" i="8"/>
  <c r="AO9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AK10" i="8"/>
  <c r="AL10" i="8"/>
  <c r="AM10" i="8"/>
  <c r="AN10" i="8"/>
  <c r="AO10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AK11" i="8"/>
  <c r="AL11" i="8"/>
  <c r="AM11" i="8"/>
  <c r="AN11" i="8"/>
  <c r="AO11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AK12" i="8"/>
  <c r="AL12" i="8"/>
  <c r="AM12" i="8"/>
  <c r="AN12" i="8"/>
  <c r="AO12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AK13" i="8"/>
  <c r="AL13" i="8"/>
  <c r="AM13" i="8"/>
  <c r="AN13" i="8"/>
  <c r="AO13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AK14" i="8"/>
  <c r="AL14" i="8"/>
  <c r="AM14" i="8"/>
  <c r="AN14" i="8"/>
  <c r="AO14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AK15" i="8"/>
  <c r="AL15" i="8"/>
  <c r="AM15" i="8"/>
  <c r="AN15" i="8"/>
  <c r="AO15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AK16" i="8"/>
  <c r="AL16" i="8"/>
  <c r="AM16" i="8"/>
  <c r="AN16" i="8"/>
  <c r="AO16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AK17" i="8"/>
  <c r="AL17" i="8"/>
  <c r="AM17" i="8"/>
  <c r="AN17" i="8"/>
  <c r="AO17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AK18" i="8"/>
  <c r="AL18" i="8"/>
  <c r="AM18" i="8"/>
  <c r="AN18" i="8"/>
  <c r="AO18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AK19" i="8"/>
  <c r="AL19" i="8"/>
  <c r="AM19" i="8"/>
  <c r="AN19" i="8"/>
  <c r="AO19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AK20" i="8"/>
  <c r="AL20" i="8"/>
  <c r="AM20" i="8"/>
  <c r="AN20" i="8"/>
  <c r="AO20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AK21" i="8"/>
  <c r="AL21" i="8"/>
  <c r="AM21" i="8"/>
  <c r="AN21" i="8"/>
  <c r="AO21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AK22" i="8"/>
  <c r="AL22" i="8"/>
  <c r="AM22" i="8"/>
  <c r="AN22" i="8"/>
  <c r="AO22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AK23" i="8"/>
  <c r="AL23" i="8"/>
  <c r="AM23" i="8"/>
  <c r="AN23" i="8"/>
  <c r="AO23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AK24" i="8"/>
  <c r="AL24" i="8"/>
  <c r="AM24" i="8"/>
  <c r="AN24" i="8"/>
  <c r="AO24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AK25" i="8"/>
  <c r="AL25" i="8"/>
  <c r="AM25" i="8"/>
  <c r="AN25" i="8"/>
  <c r="AO25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AK26" i="8"/>
  <c r="AL26" i="8"/>
  <c r="AM26" i="8"/>
  <c r="AN26" i="8"/>
  <c r="AO26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AK27" i="8"/>
  <c r="AL27" i="8"/>
  <c r="AM27" i="8"/>
  <c r="AN27" i="8"/>
  <c r="AO27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AK28" i="8"/>
  <c r="AL28" i="8"/>
  <c r="AM28" i="8"/>
  <c r="AN28" i="8"/>
  <c r="AO28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AK29" i="8"/>
  <c r="AL29" i="8"/>
  <c r="AM29" i="8"/>
  <c r="AN29" i="8"/>
  <c r="AO29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AK30" i="8"/>
  <c r="AL30" i="8"/>
  <c r="AM30" i="8"/>
  <c r="AN30" i="8"/>
  <c r="AO30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AK31" i="8"/>
  <c r="AL31" i="8"/>
  <c r="AM31" i="8"/>
  <c r="AN31" i="8"/>
  <c r="AO31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AK32" i="8"/>
  <c r="AL32" i="8"/>
  <c r="AM32" i="8"/>
  <c r="AN32" i="8"/>
  <c r="AO32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AK33" i="8"/>
  <c r="AL33" i="8"/>
  <c r="AM33" i="8"/>
  <c r="AN33" i="8"/>
  <c r="AO33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AK34" i="8"/>
  <c r="AL34" i="8"/>
  <c r="AM34" i="8"/>
  <c r="AN34" i="8"/>
  <c r="AO34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AK35" i="8"/>
  <c r="AL35" i="8"/>
  <c r="AM35" i="8"/>
  <c r="AN35" i="8"/>
  <c r="AO35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AK36" i="8"/>
  <c r="AL36" i="8"/>
  <c r="AM36" i="8"/>
  <c r="AN36" i="8"/>
  <c r="AO36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AK37" i="8"/>
  <c r="AL37" i="8"/>
  <c r="AM37" i="8"/>
  <c r="AN37" i="8"/>
  <c r="AO37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AK38" i="8"/>
  <c r="AL38" i="8"/>
  <c r="AM38" i="8"/>
  <c r="AN38" i="8"/>
  <c r="AO38" i="8"/>
  <c r="AO2" i="8"/>
  <c r="AN2" i="8"/>
  <c r="AM2" i="8"/>
  <c r="AL2" i="8"/>
  <c r="AK2" i="8"/>
  <c r="AJ2" i="8"/>
  <c r="AI2" i="8"/>
  <c r="AH2" i="8"/>
  <c r="AG2" i="8"/>
  <c r="AF2" i="8"/>
  <c r="AE2" i="8"/>
  <c r="AD2" i="8"/>
  <c r="AC2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F2" i="8"/>
  <c r="E2" i="8"/>
  <c r="D2" i="8"/>
  <c r="C2" i="8"/>
  <c r="B2" i="8"/>
  <c r="T45" i="24"/>
  <c r="S45" i="24"/>
  <c r="T44" i="24"/>
  <c r="S44" i="24"/>
  <c r="T43" i="24"/>
  <c r="S43" i="24"/>
  <c r="T42" i="24"/>
  <c r="S42" i="24"/>
  <c r="T41" i="24"/>
  <c r="S41" i="24"/>
  <c r="T40" i="24"/>
  <c r="S40" i="24"/>
  <c r="T39" i="24"/>
  <c r="S39" i="24"/>
  <c r="T38" i="24"/>
  <c r="S38" i="24"/>
  <c r="T37" i="24"/>
  <c r="S37" i="24"/>
  <c r="T36" i="24"/>
  <c r="S36" i="24"/>
  <c r="T35" i="24"/>
  <c r="S35" i="24"/>
  <c r="T34" i="24"/>
  <c r="S34" i="24"/>
  <c r="T33" i="24"/>
  <c r="S33" i="24"/>
  <c r="T32" i="24"/>
  <c r="S32" i="24"/>
  <c r="T31" i="24"/>
  <c r="S31" i="24"/>
  <c r="T30" i="24"/>
  <c r="S30" i="24"/>
  <c r="T29" i="24"/>
  <c r="S29" i="24"/>
  <c r="T28" i="24"/>
  <c r="S28" i="24"/>
  <c r="T27" i="24"/>
  <c r="S27" i="24"/>
  <c r="T26" i="24"/>
  <c r="S26" i="24"/>
  <c r="T25" i="24"/>
  <c r="S25" i="24"/>
  <c r="T24" i="24"/>
  <c r="S24" i="24"/>
  <c r="T23" i="24"/>
  <c r="S23" i="24"/>
  <c r="T22" i="24"/>
  <c r="S22" i="24"/>
  <c r="T21" i="24"/>
  <c r="S21" i="24"/>
  <c r="T20" i="24"/>
  <c r="S20" i="24"/>
  <c r="T19" i="24"/>
  <c r="S19" i="24"/>
  <c r="T18" i="24"/>
  <c r="S18" i="24"/>
  <c r="T17" i="24"/>
  <c r="S17" i="24"/>
  <c r="T16" i="24"/>
  <c r="S16" i="24"/>
  <c r="T15" i="24"/>
  <c r="S15" i="24"/>
  <c r="T14" i="24"/>
  <c r="S14" i="24"/>
  <c r="T13" i="24"/>
  <c r="S13" i="24"/>
  <c r="T12" i="24"/>
  <c r="S12" i="24"/>
  <c r="T11" i="24"/>
  <c r="S11" i="24"/>
  <c r="T10" i="24"/>
  <c r="S10" i="24"/>
  <c r="T9" i="24"/>
  <c r="S9" i="24"/>
  <c r="T8" i="24"/>
  <c r="S8" i="24"/>
  <c r="T7" i="24"/>
  <c r="S7" i="24"/>
  <c r="T6" i="24"/>
  <c r="S6" i="24"/>
  <c r="T5" i="24"/>
  <c r="S5" i="24"/>
  <c r="T4" i="24"/>
  <c r="S4" i="24"/>
  <c r="T45" i="23"/>
  <c r="S45" i="23"/>
  <c r="T44" i="23"/>
  <c r="S44" i="23"/>
  <c r="T43" i="23"/>
  <c r="S43" i="23"/>
  <c r="T42" i="23"/>
  <c r="S42" i="23"/>
  <c r="T41" i="23"/>
  <c r="S41" i="23"/>
  <c r="T40" i="23"/>
  <c r="S40" i="23"/>
  <c r="T39" i="23"/>
  <c r="S39" i="23"/>
  <c r="T38" i="23"/>
  <c r="S38" i="23"/>
  <c r="T37" i="23"/>
  <c r="S37" i="23"/>
  <c r="T36" i="23"/>
  <c r="S36" i="23"/>
  <c r="T35" i="23"/>
  <c r="S35" i="23"/>
  <c r="T34" i="23"/>
  <c r="S34" i="23"/>
  <c r="T33" i="23"/>
  <c r="S33" i="23"/>
  <c r="T32" i="23"/>
  <c r="S32" i="23"/>
  <c r="T31" i="23"/>
  <c r="S31" i="23"/>
  <c r="T30" i="23"/>
  <c r="S30" i="23"/>
  <c r="T29" i="23"/>
  <c r="S29" i="23"/>
  <c r="T28" i="23"/>
  <c r="S28" i="23"/>
  <c r="T27" i="23"/>
  <c r="S27" i="23"/>
  <c r="T26" i="23"/>
  <c r="S26" i="23"/>
  <c r="T25" i="23"/>
  <c r="S25" i="23"/>
  <c r="T24" i="23"/>
  <c r="S24" i="23"/>
  <c r="T23" i="23"/>
  <c r="S23" i="23"/>
  <c r="T22" i="23"/>
  <c r="S22" i="23"/>
  <c r="T21" i="23"/>
  <c r="S21" i="23"/>
  <c r="T20" i="23"/>
  <c r="S20" i="23"/>
  <c r="T19" i="23"/>
  <c r="S19" i="23"/>
  <c r="T18" i="23"/>
  <c r="S18" i="23"/>
  <c r="T17" i="23"/>
  <c r="S17" i="23"/>
  <c r="T16" i="23"/>
  <c r="S16" i="23"/>
  <c r="T15" i="23"/>
  <c r="S15" i="23"/>
  <c r="T14" i="23"/>
  <c r="S14" i="23"/>
  <c r="T13" i="23"/>
  <c r="S13" i="23"/>
  <c r="T12" i="23"/>
  <c r="S12" i="23"/>
  <c r="T11" i="23"/>
  <c r="S11" i="23"/>
  <c r="T10" i="23"/>
  <c r="S10" i="23"/>
  <c r="T9" i="23"/>
  <c r="S9" i="23"/>
  <c r="T8" i="23"/>
  <c r="S8" i="23"/>
  <c r="T7" i="23"/>
  <c r="S7" i="23"/>
  <c r="T6" i="23"/>
  <c r="S6" i="23"/>
  <c r="T5" i="23"/>
  <c r="S5" i="23"/>
  <c r="T4" i="23"/>
  <c r="S4" i="23"/>
  <c r="T45" i="22"/>
  <c r="S45" i="22"/>
  <c r="T44" i="22"/>
  <c r="S44" i="22"/>
  <c r="T43" i="22"/>
  <c r="S43" i="22"/>
  <c r="T42" i="22"/>
  <c r="S42" i="22"/>
  <c r="T41" i="22"/>
  <c r="S41" i="22"/>
  <c r="T40" i="22"/>
  <c r="S40" i="22"/>
  <c r="T39" i="22"/>
  <c r="S39" i="22"/>
  <c r="T38" i="22"/>
  <c r="S38" i="22"/>
  <c r="T37" i="22"/>
  <c r="S37" i="22"/>
  <c r="T36" i="22"/>
  <c r="S36" i="22"/>
  <c r="T35" i="22"/>
  <c r="S35" i="22"/>
  <c r="T34" i="22"/>
  <c r="S34" i="22"/>
  <c r="T33" i="22"/>
  <c r="S33" i="22"/>
  <c r="T32" i="22"/>
  <c r="S32" i="22"/>
  <c r="T31" i="22"/>
  <c r="S31" i="22"/>
  <c r="T30" i="22"/>
  <c r="S30" i="22"/>
  <c r="T29" i="22"/>
  <c r="S29" i="22"/>
  <c r="T28" i="22"/>
  <c r="S28" i="22"/>
  <c r="T27" i="22"/>
  <c r="S27" i="22"/>
  <c r="T26" i="22"/>
  <c r="S26" i="22"/>
  <c r="T25" i="22"/>
  <c r="S25" i="22"/>
  <c r="T24" i="22"/>
  <c r="S24" i="22"/>
  <c r="T23" i="22"/>
  <c r="S23" i="22"/>
  <c r="T22" i="22"/>
  <c r="S22" i="22"/>
  <c r="T21" i="22"/>
  <c r="S21" i="22"/>
  <c r="T20" i="22"/>
  <c r="S20" i="22"/>
  <c r="T19" i="22"/>
  <c r="S19" i="22"/>
  <c r="T18" i="22"/>
  <c r="S18" i="22"/>
  <c r="T17" i="22"/>
  <c r="S17" i="22"/>
  <c r="T16" i="22"/>
  <c r="S16" i="22"/>
  <c r="T15" i="22"/>
  <c r="S15" i="22"/>
  <c r="T14" i="22"/>
  <c r="S14" i="22"/>
  <c r="T13" i="22"/>
  <c r="S13" i="22"/>
  <c r="T12" i="22"/>
  <c r="S12" i="22"/>
  <c r="T11" i="22"/>
  <c r="S11" i="22"/>
  <c r="T10" i="22"/>
  <c r="S10" i="22"/>
  <c r="T9" i="22"/>
  <c r="S9" i="22"/>
  <c r="T8" i="22"/>
  <c r="S8" i="22"/>
  <c r="T7" i="22"/>
  <c r="S7" i="22"/>
  <c r="T6" i="22"/>
  <c r="S6" i="22"/>
  <c r="T5" i="22"/>
  <c r="S5" i="22"/>
  <c r="T4" i="22"/>
  <c r="S4" i="22"/>
  <c r="T45" i="21"/>
  <c r="S45" i="21"/>
  <c r="T44" i="21"/>
  <c r="S44" i="21"/>
  <c r="T43" i="21"/>
  <c r="S43" i="21"/>
  <c r="T42" i="21"/>
  <c r="S42" i="21"/>
  <c r="T41" i="21"/>
  <c r="S41" i="21"/>
  <c r="T40" i="21"/>
  <c r="S40" i="21"/>
  <c r="T39" i="21"/>
  <c r="S39" i="21"/>
  <c r="T38" i="21"/>
  <c r="S38" i="21"/>
  <c r="T37" i="21"/>
  <c r="S37" i="21"/>
  <c r="T36" i="21"/>
  <c r="S36" i="21"/>
  <c r="T35" i="21"/>
  <c r="S35" i="21"/>
  <c r="T34" i="21"/>
  <c r="S34" i="21"/>
  <c r="T33" i="21"/>
  <c r="S33" i="21"/>
  <c r="T32" i="21"/>
  <c r="S32" i="21"/>
  <c r="T31" i="21"/>
  <c r="S31" i="21"/>
  <c r="T30" i="21"/>
  <c r="S30" i="21"/>
  <c r="T29" i="21"/>
  <c r="S29" i="21"/>
  <c r="T28" i="21"/>
  <c r="S28" i="21"/>
  <c r="T27" i="21"/>
  <c r="S27" i="21"/>
  <c r="T26" i="21"/>
  <c r="S26" i="21"/>
  <c r="T25" i="21"/>
  <c r="S25" i="21"/>
  <c r="T24" i="21"/>
  <c r="S24" i="21"/>
  <c r="T23" i="21"/>
  <c r="S23" i="21"/>
  <c r="T22" i="21"/>
  <c r="S22" i="21"/>
  <c r="T21" i="21"/>
  <c r="S21" i="21"/>
  <c r="T20" i="21"/>
  <c r="S20" i="21"/>
  <c r="T19" i="21"/>
  <c r="S19" i="21"/>
  <c r="T18" i="21"/>
  <c r="S18" i="21"/>
  <c r="T17" i="21"/>
  <c r="S17" i="21"/>
  <c r="T16" i="21"/>
  <c r="S16" i="21"/>
  <c r="T15" i="21"/>
  <c r="S15" i="21"/>
  <c r="T14" i="21"/>
  <c r="S14" i="21"/>
  <c r="T13" i="21"/>
  <c r="S13" i="21"/>
  <c r="T12" i="21"/>
  <c r="S12" i="21"/>
  <c r="T11" i="21"/>
  <c r="S11" i="21"/>
  <c r="T10" i="21"/>
  <c r="S10" i="21"/>
  <c r="T9" i="21"/>
  <c r="S9" i="21"/>
  <c r="T8" i="21"/>
  <c r="S8" i="21"/>
  <c r="T7" i="21"/>
  <c r="S7" i="21"/>
  <c r="T6" i="21"/>
  <c r="S6" i="21"/>
  <c r="T5" i="21"/>
  <c r="S5" i="21"/>
  <c r="T4" i="21"/>
  <c r="S4" i="21"/>
  <c r="T45" i="20"/>
  <c r="S45" i="20"/>
  <c r="T44" i="20"/>
  <c r="S44" i="20"/>
  <c r="T43" i="20"/>
  <c r="S43" i="20"/>
  <c r="T42" i="20"/>
  <c r="S42" i="20"/>
  <c r="T41" i="20"/>
  <c r="S41" i="20"/>
  <c r="T40" i="20"/>
  <c r="S40" i="20"/>
  <c r="T39" i="20"/>
  <c r="S39" i="20"/>
  <c r="T38" i="20"/>
  <c r="S38" i="20"/>
  <c r="T37" i="20"/>
  <c r="S37" i="20"/>
  <c r="T36" i="20"/>
  <c r="S36" i="20"/>
  <c r="T35" i="20"/>
  <c r="S35" i="20"/>
  <c r="T34" i="20"/>
  <c r="S34" i="20"/>
  <c r="T33" i="20"/>
  <c r="S33" i="20"/>
  <c r="T32" i="20"/>
  <c r="S32" i="20"/>
  <c r="T31" i="20"/>
  <c r="S31" i="20"/>
  <c r="T30" i="20"/>
  <c r="S30" i="20"/>
  <c r="T29" i="20"/>
  <c r="S29" i="20"/>
  <c r="T28" i="20"/>
  <c r="S28" i="20"/>
  <c r="T27" i="20"/>
  <c r="S27" i="20"/>
  <c r="T26" i="20"/>
  <c r="S26" i="20"/>
  <c r="T25" i="20"/>
  <c r="S25" i="20"/>
  <c r="T24" i="20"/>
  <c r="S24" i="20"/>
  <c r="T23" i="20"/>
  <c r="S23" i="20"/>
  <c r="T22" i="20"/>
  <c r="S22" i="20"/>
  <c r="T21" i="20"/>
  <c r="S21" i="20"/>
  <c r="T20" i="20"/>
  <c r="S20" i="20"/>
  <c r="T19" i="20"/>
  <c r="S19" i="20"/>
  <c r="T18" i="20"/>
  <c r="S18" i="20"/>
  <c r="T17" i="20"/>
  <c r="S17" i="20"/>
  <c r="T16" i="20"/>
  <c r="S16" i="20"/>
  <c r="T15" i="20"/>
  <c r="S15" i="20"/>
  <c r="T14" i="20"/>
  <c r="S14" i="20"/>
  <c r="T13" i="20"/>
  <c r="S13" i="20"/>
  <c r="T12" i="20"/>
  <c r="S12" i="20"/>
  <c r="T11" i="20"/>
  <c r="S11" i="20"/>
  <c r="T10" i="20"/>
  <c r="S10" i="20"/>
  <c r="T9" i="20"/>
  <c r="S9" i="20"/>
  <c r="T8" i="20"/>
  <c r="S8" i="20"/>
  <c r="T7" i="20"/>
  <c r="S7" i="20"/>
  <c r="T6" i="20"/>
  <c r="S6" i="20"/>
  <c r="T5" i="20"/>
  <c r="S5" i="20"/>
  <c r="T4" i="20"/>
  <c r="S4" i="20"/>
  <c r="T45" i="19"/>
  <c r="S45" i="19"/>
  <c r="T44" i="19"/>
  <c r="S44" i="19"/>
  <c r="T43" i="19"/>
  <c r="S43" i="19"/>
  <c r="T42" i="19"/>
  <c r="S42" i="19"/>
  <c r="T41" i="19"/>
  <c r="S41" i="19"/>
  <c r="T40" i="19"/>
  <c r="S40" i="19"/>
  <c r="T39" i="19"/>
  <c r="S39" i="19"/>
  <c r="T38" i="19"/>
  <c r="S38" i="19"/>
  <c r="T37" i="19"/>
  <c r="S37" i="19"/>
  <c r="T36" i="19"/>
  <c r="S36" i="19"/>
  <c r="T35" i="19"/>
  <c r="S35" i="19"/>
  <c r="T34" i="19"/>
  <c r="S34" i="19"/>
  <c r="T33" i="19"/>
  <c r="S33" i="19"/>
  <c r="T32" i="19"/>
  <c r="S32" i="19"/>
  <c r="T31" i="19"/>
  <c r="S31" i="19"/>
  <c r="T30" i="19"/>
  <c r="S30" i="19"/>
  <c r="T29" i="19"/>
  <c r="S29" i="19"/>
  <c r="T28" i="19"/>
  <c r="S28" i="19"/>
  <c r="T27" i="19"/>
  <c r="S27" i="19"/>
  <c r="T26" i="19"/>
  <c r="S26" i="19"/>
  <c r="T25" i="19"/>
  <c r="S25" i="19"/>
  <c r="T24" i="19"/>
  <c r="S24" i="19"/>
  <c r="T23" i="19"/>
  <c r="S23" i="19"/>
  <c r="T22" i="19"/>
  <c r="S22" i="19"/>
  <c r="T21" i="19"/>
  <c r="S21" i="19"/>
  <c r="T20" i="19"/>
  <c r="S20" i="19"/>
  <c r="T19" i="19"/>
  <c r="S19" i="19"/>
  <c r="T18" i="19"/>
  <c r="S18" i="19"/>
  <c r="T17" i="19"/>
  <c r="S17" i="19"/>
  <c r="T16" i="19"/>
  <c r="S16" i="19"/>
  <c r="T15" i="19"/>
  <c r="S15" i="19"/>
  <c r="T14" i="19"/>
  <c r="S14" i="19"/>
  <c r="T13" i="19"/>
  <c r="S13" i="19"/>
  <c r="T12" i="19"/>
  <c r="S12" i="19"/>
  <c r="T11" i="19"/>
  <c r="S11" i="19"/>
  <c r="T10" i="19"/>
  <c r="S10" i="19"/>
  <c r="T9" i="19"/>
  <c r="S9" i="19"/>
  <c r="T8" i="19"/>
  <c r="S8" i="19"/>
  <c r="T7" i="19"/>
  <c r="S7" i="19"/>
  <c r="T6" i="19"/>
  <c r="S6" i="19"/>
  <c r="T5" i="19"/>
  <c r="S5" i="19"/>
  <c r="T4" i="19"/>
  <c r="S4" i="19"/>
  <c r="T45" i="18"/>
  <c r="S45" i="18"/>
  <c r="T44" i="18"/>
  <c r="S44" i="18"/>
  <c r="T43" i="18"/>
  <c r="S43" i="18"/>
  <c r="T42" i="18"/>
  <c r="S42" i="18"/>
  <c r="T41" i="18"/>
  <c r="S41" i="18"/>
  <c r="T40" i="18"/>
  <c r="S40" i="18"/>
  <c r="T39" i="18"/>
  <c r="S39" i="18"/>
  <c r="T38" i="18"/>
  <c r="S38" i="18"/>
  <c r="T37" i="18"/>
  <c r="S37" i="18"/>
  <c r="T36" i="18"/>
  <c r="S36" i="18"/>
  <c r="T35" i="18"/>
  <c r="S35" i="18"/>
  <c r="T34" i="18"/>
  <c r="S34" i="18"/>
  <c r="T33" i="18"/>
  <c r="S33" i="18"/>
  <c r="T32" i="18"/>
  <c r="S32" i="18"/>
  <c r="T31" i="18"/>
  <c r="S31" i="18"/>
  <c r="T30" i="18"/>
  <c r="S30" i="18"/>
  <c r="T29" i="18"/>
  <c r="S29" i="18"/>
  <c r="T28" i="18"/>
  <c r="S28" i="18"/>
  <c r="T27" i="18"/>
  <c r="S27" i="18"/>
  <c r="T26" i="18"/>
  <c r="S26" i="18"/>
  <c r="T25" i="18"/>
  <c r="S25" i="18"/>
  <c r="T24" i="18"/>
  <c r="S24" i="18"/>
  <c r="T23" i="18"/>
  <c r="S23" i="18"/>
  <c r="T22" i="18"/>
  <c r="S22" i="18"/>
  <c r="T21" i="18"/>
  <c r="S21" i="18"/>
  <c r="T20" i="18"/>
  <c r="S20" i="18"/>
  <c r="T19" i="18"/>
  <c r="S19" i="18"/>
  <c r="T18" i="18"/>
  <c r="S18" i="18"/>
  <c r="T17" i="18"/>
  <c r="S17" i="18"/>
  <c r="T16" i="18"/>
  <c r="S16" i="18"/>
  <c r="T15" i="18"/>
  <c r="S15" i="18"/>
  <c r="T14" i="18"/>
  <c r="S14" i="18"/>
  <c r="T13" i="18"/>
  <c r="S13" i="18"/>
  <c r="T12" i="18"/>
  <c r="S12" i="18"/>
  <c r="T11" i="18"/>
  <c r="S11" i="18"/>
  <c r="T10" i="18"/>
  <c r="S10" i="18"/>
  <c r="T9" i="18"/>
  <c r="S9" i="18"/>
  <c r="T8" i="18"/>
  <c r="S8" i="18"/>
  <c r="T7" i="18"/>
  <c r="S7" i="18"/>
  <c r="T6" i="18"/>
  <c r="S6" i="18"/>
  <c r="T5" i="18"/>
  <c r="S5" i="18"/>
  <c r="T4" i="18"/>
  <c r="S4" i="18"/>
  <c r="T45" i="17"/>
  <c r="S45" i="17"/>
  <c r="T44" i="17"/>
  <c r="S44" i="17"/>
  <c r="T43" i="17"/>
  <c r="S43" i="17"/>
  <c r="T42" i="17"/>
  <c r="S42" i="17"/>
  <c r="T41" i="17"/>
  <c r="S41" i="17"/>
  <c r="T40" i="17"/>
  <c r="S40" i="17"/>
  <c r="T39" i="17"/>
  <c r="S39" i="17"/>
  <c r="T38" i="17"/>
  <c r="S38" i="17"/>
  <c r="T37" i="17"/>
  <c r="S37" i="17"/>
  <c r="T36" i="17"/>
  <c r="S36" i="17"/>
  <c r="T35" i="17"/>
  <c r="S35" i="17"/>
  <c r="T34" i="17"/>
  <c r="S34" i="17"/>
  <c r="T33" i="17"/>
  <c r="S33" i="17"/>
  <c r="T32" i="17"/>
  <c r="S32" i="17"/>
  <c r="T31" i="17"/>
  <c r="S31" i="17"/>
  <c r="T30" i="17"/>
  <c r="S30" i="17"/>
  <c r="T29" i="17"/>
  <c r="S29" i="17"/>
  <c r="T28" i="17"/>
  <c r="S28" i="17"/>
  <c r="T27" i="17"/>
  <c r="S27" i="17"/>
  <c r="T26" i="17"/>
  <c r="S26" i="17"/>
  <c r="T25" i="17"/>
  <c r="S25" i="17"/>
  <c r="T24" i="17"/>
  <c r="S24" i="17"/>
  <c r="T23" i="17"/>
  <c r="S23" i="17"/>
  <c r="T22" i="17"/>
  <c r="S22" i="17"/>
  <c r="T21" i="17"/>
  <c r="S21" i="17"/>
  <c r="T20" i="17"/>
  <c r="S20" i="17"/>
  <c r="T19" i="17"/>
  <c r="S19" i="17"/>
  <c r="T18" i="17"/>
  <c r="S18" i="17"/>
  <c r="T17" i="17"/>
  <c r="S17" i="17"/>
  <c r="T16" i="17"/>
  <c r="S16" i="17"/>
  <c r="T15" i="17"/>
  <c r="S15" i="17"/>
  <c r="T14" i="17"/>
  <c r="S14" i="17"/>
  <c r="T13" i="17"/>
  <c r="S13" i="17"/>
  <c r="T12" i="17"/>
  <c r="S12" i="17"/>
  <c r="T11" i="17"/>
  <c r="S11" i="17"/>
  <c r="T10" i="17"/>
  <c r="S10" i="17"/>
  <c r="T9" i="17"/>
  <c r="S9" i="17"/>
  <c r="T8" i="17"/>
  <c r="S8" i="17"/>
  <c r="T7" i="17"/>
  <c r="S7" i="17"/>
  <c r="T6" i="17"/>
  <c r="S6" i="17"/>
  <c r="T5" i="17"/>
  <c r="S5" i="17"/>
  <c r="T4" i="17"/>
  <c r="S4" i="17"/>
  <c r="T45" i="16"/>
  <c r="S45" i="16"/>
  <c r="T44" i="16"/>
  <c r="S44" i="16"/>
  <c r="T43" i="16"/>
  <c r="S43" i="16"/>
  <c r="T42" i="16"/>
  <c r="S42" i="16"/>
  <c r="T41" i="16"/>
  <c r="S41" i="16"/>
  <c r="T40" i="16"/>
  <c r="S40" i="16"/>
  <c r="T39" i="16"/>
  <c r="S39" i="16"/>
  <c r="T38" i="16"/>
  <c r="S38" i="16"/>
  <c r="T37" i="16"/>
  <c r="S37" i="16"/>
  <c r="T36" i="16"/>
  <c r="S36" i="16"/>
  <c r="T35" i="16"/>
  <c r="S35" i="16"/>
  <c r="T34" i="16"/>
  <c r="S34" i="16"/>
  <c r="T33" i="16"/>
  <c r="S33" i="16"/>
  <c r="T32" i="16"/>
  <c r="S32" i="16"/>
  <c r="T31" i="16"/>
  <c r="S31" i="16"/>
  <c r="T30" i="16"/>
  <c r="S30" i="16"/>
  <c r="T29" i="16"/>
  <c r="S29" i="16"/>
  <c r="T28" i="16"/>
  <c r="S28" i="16"/>
  <c r="T27" i="16"/>
  <c r="S27" i="16"/>
  <c r="T26" i="16"/>
  <c r="S26" i="16"/>
  <c r="T25" i="16"/>
  <c r="S25" i="16"/>
  <c r="T24" i="16"/>
  <c r="S24" i="16"/>
  <c r="T23" i="16"/>
  <c r="S23" i="16"/>
  <c r="T22" i="16"/>
  <c r="S22" i="16"/>
  <c r="T21" i="16"/>
  <c r="S21" i="16"/>
  <c r="T20" i="16"/>
  <c r="S20" i="16"/>
  <c r="T19" i="16"/>
  <c r="S19" i="16"/>
  <c r="T18" i="16"/>
  <c r="S18" i="16"/>
  <c r="T17" i="16"/>
  <c r="S17" i="16"/>
  <c r="T16" i="16"/>
  <c r="S16" i="16"/>
  <c r="T15" i="16"/>
  <c r="S15" i="16"/>
  <c r="T14" i="16"/>
  <c r="S14" i="16"/>
  <c r="T13" i="16"/>
  <c r="S13" i="16"/>
  <c r="T12" i="16"/>
  <c r="S12" i="16"/>
  <c r="T11" i="16"/>
  <c r="S11" i="16"/>
  <c r="T10" i="16"/>
  <c r="S10" i="16"/>
  <c r="T9" i="16"/>
  <c r="S9" i="16"/>
  <c r="T8" i="16"/>
  <c r="S8" i="16"/>
  <c r="T7" i="16"/>
  <c r="S7" i="16"/>
  <c r="T6" i="16"/>
  <c r="S6" i="16"/>
  <c r="T5" i="16"/>
  <c r="S5" i="16"/>
  <c r="T4" i="16"/>
  <c r="S4" i="16"/>
  <c r="S4" i="9"/>
  <c r="T4" i="9"/>
  <c r="S5" i="9"/>
  <c r="T5" i="9"/>
  <c r="S6" i="9"/>
  <c r="T6" i="9"/>
  <c r="S20" i="9"/>
  <c r="T20" i="9"/>
  <c r="S21" i="9"/>
  <c r="T21" i="9"/>
  <c r="S22" i="9"/>
  <c r="T22" i="9"/>
  <c r="S23" i="9"/>
  <c r="T23" i="9"/>
  <c r="S24" i="9"/>
  <c r="T24" i="9"/>
  <c r="S25" i="9"/>
  <c r="T25" i="9"/>
  <c r="S26" i="9"/>
  <c r="T26" i="9"/>
  <c r="S27" i="9"/>
  <c r="T27" i="9"/>
  <c r="S28" i="9"/>
  <c r="T28" i="9"/>
  <c r="S29" i="9"/>
  <c r="T29" i="9"/>
  <c r="S30" i="9"/>
  <c r="T30" i="9"/>
  <c r="S31" i="9"/>
  <c r="T31" i="9"/>
  <c r="S32" i="9"/>
  <c r="T32" i="9"/>
  <c r="S33" i="9"/>
  <c r="T33" i="9"/>
  <c r="S34" i="9"/>
  <c r="T34" i="9"/>
  <c r="S35" i="9"/>
  <c r="T35" i="9"/>
  <c r="S36" i="9"/>
  <c r="T36" i="9"/>
  <c r="S37" i="9"/>
  <c r="T37" i="9"/>
  <c r="S38" i="9"/>
  <c r="T38" i="9"/>
  <c r="S39" i="9"/>
  <c r="T39" i="9"/>
  <c r="S40" i="9"/>
  <c r="T40" i="9"/>
  <c r="S41" i="9"/>
  <c r="T41" i="9"/>
  <c r="S42" i="9"/>
  <c r="T42" i="9"/>
  <c r="S43" i="9"/>
  <c r="T43" i="9"/>
  <c r="S44" i="9"/>
  <c r="T44" i="9"/>
  <c r="S45" i="9"/>
  <c r="T45" i="9"/>
  <c r="D4" i="15"/>
  <c r="D3" i="15"/>
  <c r="T19" i="9"/>
  <c r="S19" i="9"/>
  <c r="T18" i="9"/>
  <c r="S18" i="9"/>
  <c r="T17" i="9"/>
  <c r="S17" i="9"/>
  <c r="T16" i="9"/>
  <c r="S16" i="9"/>
  <c r="T15" i="9"/>
  <c r="S15" i="9"/>
  <c r="T14" i="9"/>
  <c r="S14" i="9"/>
  <c r="T13" i="9"/>
  <c r="S13" i="9"/>
  <c r="T12" i="9"/>
  <c r="S12" i="9"/>
  <c r="T11" i="9"/>
  <c r="S11" i="9"/>
  <c r="T10" i="9"/>
  <c r="S10" i="9"/>
  <c r="T9" i="9"/>
  <c r="S9" i="9"/>
  <c r="T8" i="9"/>
  <c r="S8" i="9"/>
  <c r="T7" i="9"/>
  <c r="S7" i="9"/>
  <c r="B4" i="15" l="1"/>
  <c r="C4" i="15"/>
  <c r="C3" i="15"/>
  <c r="B3" i="15"/>
</calcChain>
</file>

<file path=xl/sharedStrings.xml><?xml version="1.0" encoding="utf-8"?>
<sst xmlns="http://schemas.openxmlformats.org/spreadsheetml/2006/main" count="666" uniqueCount="68">
  <si>
    <t>Row/Case</t>
  </si>
  <si>
    <t>Status</t>
  </si>
  <si>
    <t>Description</t>
  </si>
  <si>
    <t xml:space="preserve">VARY   1_x000D_
T1      _x000D_
COL-SPEC_x000D_
QN      _x000D_
_x000D_
GCAL/HR _x000D_
</t>
  </si>
  <si>
    <t xml:space="preserve">TBOT    _x000D_
_x000D_
_x000D_
_x000D_
_x000D_
C       _x000D_
</t>
  </si>
  <si>
    <t xml:space="preserve">TTOP    _x000D_
_x000D_
_x000D_
_x000D_
_x000D_
C       _x000D_
</t>
  </si>
  <si>
    <t xml:space="preserve">FEED    _x000D_
_x000D_
_x000D_
_x000D_
_x000D_
KG/HR   _x000D_
</t>
  </si>
  <si>
    <t xml:space="preserve">GAS     _x000D_
_x000D_
_x000D_
_x000D_
_x000D_
KG/HR   _x000D_
</t>
  </si>
  <si>
    <t xml:space="preserve">WATER   _x000D_
_x000D_
_x000D_
_x000D_
_x000D_
KG/HR   _x000D_
</t>
  </si>
  <si>
    <t>OK</t>
  </si>
  <si>
    <t xml:space="preserve">H2SGAS  _x000D_
_x000D_
_x000D_
_x000D_
_x000D_
KG/HR   _x000D_
</t>
  </si>
  <si>
    <t xml:space="preserve">NH3GAS  _x000D_
_x000D_
_x000D_
_x000D_
_x000D_
KG/HR   _x000D_
</t>
  </si>
  <si>
    <t xml:space="preserve">H2SWATER_x000D_
_x000D_
_x000D_
_x000D_
_x000D_
KG/HR   _x000D_
</t>
  </si>
  <si>
    <t xml:space="preserve">NH3WATER_x000D_
_x000D_
_x000D_
_x000D_
_x000D_
KG/HR   _x000D_
</t>
  </si>
  <si>
    <t>H2S RECOVER</t>
  </si>
  <si>
    <t xml:space="preserve">H20GAS  _x000D_
_x000D_
_x000D_
_x000D_
_x000D_
KG/HR   _x000D_
</t>
  </si>
  <si>
    <t xml:space="preserve">H20WATER_x000D_
_x000D_
_x000D_
_x000D_
_x000D_
KG/HR   _x000D_
</t>
  </si>
  <si>
    <t xml:space="preserve">H2SFEED _x000D_
_x000D_
_x000D_
_x000D_
_x000D_
KG/HR   _x000D_
</t>
  </si>
  <si>
    <t xml:space="preserve">NH3FEED _x000D_
_x000D_
_x000D_
_x000D_
_x000D_
KG/HR   _x000D_
</t>
  </si>
  <si>
    <t xml:space="preserve">H20FEED _x000D_
_x000D_
_x000D_
_x000D_
_x000D_
KG/HR   _x000D_
</t>
  </si>
  <si>
    <t>NH3 LOSS</t>
  </si>
  <si>
    <t>Recuperação H2S [%] - Caso 1</t>
  </si>
  <si>
    <t>T fundo [°C] - Caso 1</t>
  </si>
  <si>
    <t>T fundo [°C] - Caso 2</t>
  </si>
  <si>
    <t>T fundo [°C] - Caso 3</t>
  </si>
  <si>
    <t>T fundo [°C] - Caso 4</t>
  </si>
  <si>
    <t>Recuperação H2S [%] - Caso 2</t>
  </si>
  <si>
    <t>Recuperação H2S [%] - Caso 3</t>
  </si>
  <si>
    <t>Recuperação H2S [%] - Caso 4</t>
  </si>
  <si>
    <t>Perda NH3 [%] - Caso 1</t>
  </si>
  <si>
    <t>Perda NH3 [%] - Caso 2</t>
  </si>
  <si>
    <t>Perda NH3 [%] - Caso 3</t>
  </si>
  <si>
    <t>Perda NH3 [%] - Caso 4</t>
  </si>
  <si>
    <t>T fundo [°C] - Caso 5</t>
  </si>
  <si>
    <t>T fundo [°C] - Caso 6</t>
  </si>
  <si>
    <t>Recuperação H2S [%] - Caso 5</t>
  </si>
  <si>
    <t>Recuperação H2S [%] - Caso 6</t>
  </si>
  <si>
    <t>Perda NH3 [%] - Caso 5</t>
  </si>
  <si>
    <t>Perda NH3 [%] - Caso 6</t>
  </si>
  <si>
    <t>Carga térmica refervedor [Gcal/h]</t>
  </si>
  <si>
    <t>T fundo [°C] - Caso 7</t>
  </si>
  <si>
    <t>T fundo [°C] - Caso 8</t>
  </si>
  <si>
    <t>Recuperação H2S [%] - Caso 7</t>
  </si>
  <si>
    <t>Recuperação H2S [%] - Caso 8</t>
  </si>
  <si>
    <t>Perda NH3 [%] - Caso 7</t>
  </si>
  <si>
    <t>Perda NH3 [%] - Caso 8</t>
  </si>
  <si>
    <t>T topo [°C] - Caso 1</t>
  </si>
  <si>
    <t>T topo [°C] - Caso 2</t>
  </si>
  <si>
    <t>T topo [°C] - Caso 3</t>
  </si>
  <si>
    <t>T topo [°C] - Caso 4</t>
  </si>
  <si>
    <t>T topo [°C] - Caso 5</t>
  </si>
  <si>
    <t>T topo [°C] - Caso 6</t>
  </si>
  <si>
    <t>T topo [°C] - Caso 7</t>
  </si>
  <si>
    <t>T topo [°C] - Caso 8</t>
  </si>
  <si>
    <t>T fundo [°C] - Caso 9</t>
  </si>
  <si>
    <t>T fundo [°C] - Caso 10</t>
  </si>
  <si>
    <t>T topo [°C] - Caso 9</t>
  </si>
  <si>
    <t>T topo [°C] - Caso 10</t>
  </si>
  <si>
    <t>Recuperação H2S [%] - Caso 9</t>
  </si>
  <si>
    <t>Recuperação H2S [%] - Caso 10</t>
  </si>
  <si>
    <t>Perda NH3 [%] - Caso 9</t>
  </si>
  <si>
    <t>Perda NH3 [%] - Caso 10</t>
  </si>
  <si>
    <t>Errors</t>
  </si>
  <si>
    <t>mínimo</t>
  </si>
  <si>
    <t>T fundo</t>
  </si>
  <si>
    <t>máximo</t>
  </si>
  <si>
    <t>T topo</t>
  </si>
  <si>
    <t>Q reb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</si>
</sst>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recuperação H2S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Caso1!$D$4:$D$45</c:f>
              <c:numCache>
                <c:formatCode>General</c:formatCode>
                <c:ptCount val="42"/>
                <c:pt idx="0">
                  <c:v>0.5</c:v>
                </c:pt>
                <c:pt idx="1">
                  <c:v>2</c:v>
                </c:pt>
                <c:pt idx="2">
                  <c:v>2.1</c:v>
                </c:pt>
                <c:pt idx="3">
                  <c:v>2.2000000000000002</c:v>
                </c:pt>
                <c:pt idx="4">
                  <c:v>2.2999999999999998</c:v>
                </c:pt>
                <c:pt idx="5">
                  <c:v>2.4</c:v>
                </c:pt>
                <c:pt idx="6">
                  <c:v>2.5</c:v>
                </c:pt>
                <c:pt idx="7">
                  <c:v>2.6</c:v>
                </c:pt>
                <c:pt idx="8">
                  <c:v>2.7</c:v>
                </c:pt>
                <c:pt idx="9">
                  <c:v>2.8</c:v>
                </c:pt>
                <c:pt idx="10">
                  <c:v>2.9</c:v>
                </c:pt>
                <c:pt idx="11">
                  <c:v>3</c:v>
                </c:pt>
                <c:pt idx="12">
                  <c:v>3.1</c:v>
                </c:pt>
                <c:pt idx="13">
                  <c:v>3.2</c:v>
                </c:pt>
                <c:pt idx="14">
                  <c:v>3.3</c:v>
                </c:pt>
                <c:pt idx="15">
                  <c:v>3.4</c:v>
                </c:pt>
                <c:pt idx="16">
                  <c:v>3.5</c:v>
                </c:pt>
                <c:pt idx="17">
                  <c:v>3.6</c:v>
                </c:pt>
                <c:pt idx="18">
                  <c:v>3.7</c:v>
                </c:pt>
                <c:pt idx="19">
                  <c:v>3.8</c:v>
                </c:pt>
                <c:pt idx="20">
                  <c:v>3.9</c:v>
                </c:pt>
                <c:pt idx="21">
                  <c:v>4</c:v>
                </c:pt>
                <c:pt idx="22">
                  <c:v>4.0999999999999996</c:v>
                </c:pt>
                <c:pt idx="23">
                  <c:v>4.2</c:v>
                </c:pt>
                <c:pt idx="24">
                  <c:v>4.3</c:v>
                </c:pt>
                <c:pt idx="25">
                  <c:v>4.4000000000000004</c:v>
                </c:pt>
                <c:pt idx="26">
                  <c:v>4.5</c:v>
                </c:pt>
                <c:pt idx="27">
                  <c:v>4.5999999999999996</c:v>
                </c:pt>
                <c:pt idx="28">
                  <c:v>4.7</c:v>
                </c:pt>
                <c:pt idx="29">
                  <c:v>4.8</c:v>
                </c:pt>
                <c:pt idx="30">
                  <c:v>4.9000000000000004</c:v>
                </c:pt>
                <c:pt idx="31">
                  <c:v>5</c:v>
                </c:pt>
                <c:pt idx="32">
                  <c:v>5.0999999999999996</c:v>
                </c:pt>
                <c:pt idx="33">
                  <c:v>5.2</c:v>
                </c:pt>
                <c:pt idx="34">
                  <c:v>5.3</c:v>
                </c:pt>
                <c:pt idx="35">
                  <c:v>5.4</c:v>
                </c:pt>
                <c:pt idx="36">
                  <c:v>5.5</c:v>
                </c:pt>
                <c:pt idx="37">
                  <c:v>5.6</c:v>
                </c:pt>
                <c:pt idx="38">
                  <c:v>5.7</c:v>
                </c:pt>
                <c:pt idx="39">
                  <c:v>5.8</c:v>
                </c:pt>
                <c:pt idx="40">
                  <c:v>5.9</c:v>
                </c:pt>
                <c:pt idx="41">
                  <c:v>6</c:v>
                </c:pt>
              </c:numCache>
            </c:numRef>
          </c:xVal>
          <c:yVal>
            <c:numRef>
              <c:f>Caso1!$S$4:$S$45</c:f>
              <c:numCache>
                <c:formatCode>0.00</c:formatCode>
                <c:ptCount val="42"/>
                <c:pt idx="0">
                  <c:v>8.0501276390977442E-7</c:v>
                </c:pt>
                <c:pt idx="1">
                  <c:v>59.8587840802005</c:v>
                </c:pt>
                <c:pt idx="2">
                  <c:v>105.82394546365914</c:v>
                </c:pt>
                <c:pt idx="3">
                  <c:v>58.094958917293241</c:v>
                </c:pt>
                <c:pt idx="4">
                  <c:v>70.977072200501254</c:v>
                </c:pt>
                <c:pt idx="5">
                  <c:v>84.375576541353382</c:v>
                </c:pt>
                <c:pt idx="6">
                  <c:v>98.301021353383462</c:v>
                </c:pt>
                <c:pt idx="7">
                  <c:v>100.00000401002507</c:v>
                </c:pt>
                <c:pt idx="8">
                  <c:v>100</c:v>
                </c:pt>
                <c:pt idx="9">
                  <c:v>99.999992781954873</c:v>
                </c:pt>
                <c:pt idx="10">
                  <c:v>99.999972731829573</c:v>
                </c:pt>
                <c:pt idx="11">
                  <c:v>99.999963107769418</c:v>
                </c:pt>
                <c:pt idx="12">
                  <c:v>99.999985563909775</c:v>
                </c:pt>
                <c:pt idx="13">
                  <c:v>100.000000802005</c:v>
                </c:pt>
                <c:pt idx="14">
                  <c:v>100</c:v>
                </c:pt>
                <c:pt idx="15">
                  <c:v>99.999997593984943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99.999995989974934</c:v>
                </c:pt>
                <c:pt idx="20">
                  <c:v>99.999998395989991</c:v>
                </c:pt>
                <c:pt idx="21">
                  <c:v>99.999999197994995</c:v>
                </c:pt>
                <c:pt idx="22">
                  <c:v>99.999999197994995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18-423E-8C16-C05F345E2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60831"/>
        <c:axId val="627070911"/>
      </c:scatterChart>
      <c:valAx>
        <c:axId val="62706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70911"/>
        <c:crosses val="autoZero"/>
        <c:crossBetween val="midCat"/>
      </c:valAx>
      <c:valAx>
        <c:axId val="627070911"/>
        <c:scaling>
          <c:orientation val="minMax"/>
          <c:max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60831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perda NH3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Caso1!$D$4:$D$45</c:f>
              <c:numCache>
                <c:formatCode>General</c:formatCode>
                <c:ptCount val="42"/>
                <c:pt idx="0">
                  <c:v>0.5</c:v>
                </c:pt>
                <c:pt idx="1">
                  <c:v>2</c:v>
                </c:pt>
                <c:pt idx="2">
                  <c:v>2.1</c:v>
                </c:pt>
                <c:pt idx="3">
                  <c:v>2.2000000000000002</c:v>
                </c:pt>
                <c:pt idx="4">
                  <c:v>2.2999999999999998</c:v>
                </c:pt>
                <c:pt idx="5">
                  <c:v>2.4</c:v>
                </c:pt>
                <c:pt idx="6">
                  <c:v>2.5</c:v>
                </c:pt>
                <c:pt idx="7">
                  <c:v>2.6</c:v>
                </c:pt>
                <c:pt idx="8">
                  <c:v>2.7</c:v>
                </c:pt>
                <c:pt idx="9">
                  <c:v>2.8</c:v>
                </c:pt>
                <c:pt idx="10">
                  <c:v>2.9</c:v>
                </c:pt>
                <c:pt idx="11">
                  <c:v>3</c:v>
                </c:pt>
                <c:pt idx="12">
                  <c:v>3.1</c:v>
                </c:pt>
                <c:pt idx="13">
                  <c:v>3.2</c:v>
                </c:pt>
                <c:pt idx="14">
                  <c:v>3.3</c:v>
                </c:pt>
                <c:pt idx="15">
                  <c:v>3.4</c:v>
                </c:pt>
                <c:pt idx="16">
                  <c:v>3.5</c:v>
                </c:pt>
                <c:pt idx="17">
                  <c:v>3.6</c:v>
                </c:pt>
                <c:pt idx="18">
                  <c:v>3.7</c:v>
                </c:pt>
                <c:pt idx="19">
                  <c:v>3.8</c:v>
                </c:pt>
                <c:pt idx="20">
                  <c:v>3.9</c:v>
                </c:pt>
                <c:pt idx="21">
                  <c:v>4</c:v>
                </c:pt>
                <c:pt idx="22">
                  <c:v>4.0999999999999996</c:v>
                </c:pt>
                <c:pt idx="23">
                  <c:v>4.2</c:v>
                </c:pt>
                <c:pt idx="24">
                  <c:v>4.3</c:v>
                </c:pt>
                <c:pt idx="25">
                  <c:v>4.4000000000000004</c:v>
                </c:pt>
                <c:pt idx="26">
                  <c:v>4.5</c:v>
                </c:pt>
                <c:pt idx="27">
                  <c:v>4.5999999999999996</c:v>
                </c:pt>
                <c:pt idx="28">
                  <c:v>4.7</c:v>
                </c:pt>
                <c:pt idx="29">
                  <c:v>4.8</c:v>
                </c:pt>
                <c:pt idx="30">
                  <c:v>4.9000000000000004</c:v>
                </c:pt>
                <c:pt idx="31">
                  <c:v>5</c:v>
                </c:pt>
                <c:pt idx="32">
                  <c:v>5.0999999999999996</c:v>
                </c:pt>
                <c:pt idx="33">
                  <c:v>5.2</c:v>
                </c:pt>
                <c:pt idx="34">
                  <c:v>5.3</c:v>
                </c:pt>
                <c:pt idx="35">
                  <c:v>5.4</c:v>
                </c:pt>
                <c:pt idx="36">
                  <c:v>5.5</c:v>
                </c:pt>
                <c:pt idx="37">
                  <c:v>5.6</c:v>
                </c:pt>
                <c:pt idx="38">
                  <c:v>5.7</c:v>
                </c:pt>
                <c:pt idx="39">
                  <c:v>5.8</c:v>
                </c:pt>
                <c:pt idx="40">
                  <c:v>5.9</c:v>
                </c:pt>
                <c:pt idx="41">
                  <c:v>6</c:v>
                </c:pt>
              </c:numCache>
            </c:numRef>
          </c:xVal>
          <c:yVal>
            <c:numRef>
              <c:f>Caso1!$T$4:$T$45</c:f>
              <c:numCache>
                <c:formatCode>0.00</c:formatCode>
                <c:ptCount val="42"/>
                <c:pt idx="0">
                  <c:v>1.1239039064327486E-4</c:v>
                </c:pt>
                <c:pt idx="1">
                  <c:v>0.25653781801169595</c:v>
                </c:pt>
                <c:pt idx="2">
                  <c:v>0.22789979508771929</c:v>
                </c:pt>
                <c:pt idx="3">
                  <c:v>1.1658727578947369E-3</c:v>
                </c:pt>
                <c:pt idx="4">
                  <c:v>1.4866339742690058E-3</c:v>
                </c:pt>
                <c:pt idx="5">
                  <c:v>1.8563779087719299E-3</c:v>
                </c:pt>
                <c:pt idx="6">
                  <c:v>2.2875883040935673E-3</c:v>
                </c:pt>
                <c:pt idx="7">
                  <c:v>1.736728514619883</c:v>
                </c:pt>
                <c:pt idx="8">
                  <c:v>6.3143923649122806</c:v>
                </c:pt>
                <c:pt idx="9">
                  <c:v>12.063053660818714</c:v>
                </c:pt>
                <c:pt idx="10">
                  <c:v>18.134096842105262</c:v>
                </c:pt>
                <c:pt idx="11">
                  <c:v>24.262152046783626</c:v>
                </c:pt>
                <c:pt idx="12">
                  <c:v>30.361198222222221</c:v>
                </c:pt>
                <c:pt idx="13">
                  <c:v>36.413397988304091</c:v>
                </c:pt>
                <c:pt idx="14">
                  <c:v>42.474538198830409</c:v>
                </c:pt>
                <c:pt idx="15">
                  <c:v>48.598756116959066</c:v>
                </c:pt>
                <c:pt idx="16">
                  <c:v>54.629887906432749</c:v>
                </c:pt>
                <c:pt idx="17">
                  <c:v>60.388551391812875</c:v>
                </c:pt>
                <c:pt idx="18">
                  <c:v>65.773936093567258</c:v>
                </c:pt>
                <c:pt idx="19">
                  <c:v>70.724816654970752</c:v>
                </c:pt>
                <c:pt idx="20">
                  <c:v>75.203450947368424</c:v>
                </c:pt>
                <c:pt idx="21">
                  <c:v>79.191031485380108</c:v>
                </c:pt>
                <c:pt idx="22">
                  <c:v>82.687088280701744</c:v>
                </c:pt>
                <c:pt idx="23">
                  <c:v>85.70760056140351</c:v>
                </c:pt>
                <c:pt idx="24">
                  <c:v>88.282009918128665</c:v>
                </c:pt>
                <c:pt idx="25">
                  <c:v>90.449389941520465</c:v>
                </c:pt>
                <c:pt idx="26">
                  <c:v>92.254407298245596</c:v>
                </c:pt>
                <c:pt idx="27">
                  <c:v>93.743653801169586</c:v>
                </c:pt>
                <c:pt idx="28">
                  <c:v>94.96272561403508</c:v>
                </c:pt>
                <c:pt idx="29">
                  <c:v>95.954173567251473</c:v>
                </c:pt>
                <c:pt idx="30">
                  <c:v>96.756290994152053</c:v>
                </c:pt>
                <c:pt idx="31">
                  <c:v>97.402574035087724</c:v>
                </c:pt>
                <c:pt idx="32">
                  <c:v>97.921674853801179</c:v>
                </c:pt>
                <c:pt idx="33">
                  <c:v>98.337675789473693</c:v>
                </c:pt>
                <c:pt idx="34">
                  <c:v>98.670538479532169</c:v>
                </c:pt>
                <c:pt idx="35">
                  <c:v>98.936628771929833</c:v>
                </c:pt>
                <c:pt idx="36">
                  <c:v>99.149251929824544</c:v>
                </c:pt>
                <c:pt idx="37">
                  <c:v>99.31915134502924</c:v>
                </c:pt>
                <c:pt idx="38">
                  <c:v>99.454960467836258</c:v>
                </c:pt>
                <c:pt idx="39">
                  <c:v>99.563591111111108</c:v>
                </c:pt>
                <c:pt idx="40">
                  <c:v>99.650559064327496</c:v>
                </c:pt>
                <c:pt idx="41">
                  <c:v>99.720261988304102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7B-4F15-BAEB-BC132FC73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31071"/>
        <c:axId val="627048351"/>
      </c:scatterChart>
      <c:valAx>
        <c:axId val="627031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48351"/>
        <c:crosses val="autoZero"/>
        <c:crossBetween val="midCat"/>
      </c:valAx>
      <c:valAx>
        <c:axId val="627048351"/>
        <c:scaling>
          <c:orientation val="minMax"/>
          <c:max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31071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T topo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Caso1!$D$4:$D$45</c:f>
              <c:numCache>
                <c:formatCode>General</c:formatCode>
                <c:ptCount val="42"/>
                <c:pt idx="0">
                  <c:v>0.5</c:v>
                </c:pt>
                <c:pt idx="1">
                  <c:v>2</c:v>
                </c:pt>
                <c:pt idx="2">
                  <c:v>2.1</c:v>
                </c:pt>
                <c:pt idx="3">
                  <c:v>2.2000000000000002</c:v>
                </c:pt>
                <c:pt idx="4">
                  <c:v>2.2999999999999998</c:v>
                </c:pt>
                <c:pt idx="5">
                  <c:v>2.4</c:v>
                </c:pt>
                <c:pt idx="6">
                  <c:v>2.5</c:v>
                </c:pt>
                <c:pt idx="7">
                  <c:v>2.6</c:v>
                </c:pt>
                <c:pt idx="8">
                  <c:v>2.7</c:v>
                </c:pt>
                <c:pt idx="9">
                  <c:v>2.8</c:v>
                </c:pt>
                <c:pt idx="10">
                  <c:v>2.9</c:v>
                </c:pt>
                <c:pt idx="11">
                  <c:v>3</c:v>
                </c:pt>
                <c:pt idx="12">
                  <c:v>3.1</c:v>
                </c:pt>
                <c:pt idx="13">
                  <c:v>3.2</c:v>
                </c:pt>
                <c:pt idx="14">
                  <c:v>3.3</c:v>
                </c:pt>
                <c:pt idx="15">
                  <c:v>3.4</c:v>
                </c:pt>
                <c:pt idx="16">
                  <c:v>3.5</c:v>
                </c:pt>
                <c:pt idx="17">
                  <c:v>3.6</c:v>
                </c:pt>
                <c:pt idx="18">
                  <c:v>3.7</c:v>
                </c:pt>
                <c:pt idx="19">
                  <c:v>3.8</c:v>
                </c:pt>
                <c:pt idx="20">
                  <c:v>3.9</c:v>
                </c:pt>
                <c:pt idx="21">
                  <c:v>4</c:v>
                </c:pt>
                <c:pt idx="22">
                  <c:v>4.0999999999999996</c:v>
                </c:pt>
                <c:pt idx="23">
                  <c:v>4.2</c:v>
                </c:pt>
                <c:pt idx="24">
                  <c:v>4.3</c:v>
                </c:pt>
                <c:pt idx="25">
                  <c:v>4.4000000000000004</c:v>
                </c:pt>
                <c:pt idx="26">
                  <c:v>4.5</c:v>
                </c:pt>
                <c:pt idx="27">
                  <c:v>4.5999999999999996</c:v>
                </c:pt>
                <c:pt idx="28">
                  <c:v>4.7</c:v>
                </c:pt>
                <c:pt idx="29">
                  <c:v>4.8</c:v>
                </c:pt>
                <c:pt idx="30">
                  <c:v>4.9000000000000004</c:v>
                </c:pt>
                <c:pt idx="31">
                  <c:v>5</c:v>
                </c:pt>
                <c:pt idx="32">
                  <c:v>5.0999999999999996</c:v>
                </c:pt>
                <c:pt idx="33">
                  <c:v>5.2</c:v>
                </c:pt>
                <c:pt idx="34">
                  <c:v>5.3</c:v>
                </c:pt>
                <c:pt idx="35">
                  <c:v>5.4</c:v>
                </c:pt>
                <c:pt idx="36">
                  <c:v>5.5</c:v>
                </c:pt>
                <c:pt idx="37">
                  <c:v>5.6</c:v>
                </c:pt>
                <c:pt idx="38">
                  <c:v>5.7</c:v>
                </c:pt>
                <c:pt idx="39">
                  <c:v>5.8</c:v>
                </c:pt>
                <c:pt idx="40">
                  <c:v>5.9</c:v>
                </c:pt>
                <c:pt idx="41">
                  <c:v>6</c:v>
                </c:pt>
              </c:numCache>
            </c:numRef>
          </c:xVal>
          <c:yVal>
            <c:numRef>
              <c:f>Caso1!$F$4:$F$45</c:f>
              <c:numCache>
                <c:formatCode>General</c:formatCode>
                <c:ptCount val="42"/>
                <c:pt idx="0">
                  <c:v>193.412936</c:v>
                </c:pt>
                <c:pt idx="1">
                  <c:v>-9.8743581900000006</c:v>
                </c:pt>
                <c:pt idx="2">
                  <c:v>-18.294103100000001</c:v>
                </c:pt>
                <c:pt idx="3">
                  <c:v>60.228165300000001</c:v>
                </c:pt>
                <c:pt idx="4">
                  <c:v>60.280800300000003</c:v>
                </c:pt>
                <c:pt idx="5">
                  <c:v>60.336289299999997</c:v>
                </c:pt>
                <c:pt idx="6">
                  <c:v>60.394578500000001</c:v>
                </c:pt>
                <c:pt idx="7">
                  <c:v>61.294056500000003</c:v>
                </c:pt>
                <c:pt idx="8">
                  <c:v>62.331605799999998</c:v>
                </c:pt>
                <c:pt idx="9">
                  <c:v>64.513585899999995</c:v>
                </c:pt>
                <c:pt idx="10">
                  <c:v>69.130418899999995</c:v>
                </c:pt>
                <c:pt idx="11">
                  <c:v>77.965848899999997</c:v>
                </c:pt>
                <c:pt idx="12">
                  <c:v>91.905237200000002</c:v>
                </c:pt>
                <c:pt idx="13">
                  <c:v>110.31672399999999</c:v>
                </c:pt>
                <c:pt idx="14">
                  <c:v>130.22797600000001</c:v>
                </c:pt>
                <c:pt idx="15">
                  <c:v>144.313546</c:v>
                </c:pt>
                <c:pt idx="16">
                  <c:v>151.35982899999999</c:v>
                </c:pt>
                <c:pt idx="17">
                  <c:v>154.959294</c:v>
                </c:pt>
                <c:pt idx="18">
                  <c:v>157.05121299999999</c:v>
                </c:pt>
                <c:pt idx="19">
                  <c:v>158.40604500000001</c:v>
                </c:pt>
                <c:pt idx="20">
                  <c:v>159.35622900000001</c:v>
                </c:pt>
                <c:pt idx="21">
                  <c:v>160.06302500000001</c:v>
                </c:pt>
                <c:pt idx="22">
                  <c:v>160.61258100000001</c:v>
                </c:pt>
                <c:pt idx="23">
                  <c:v>161.05456000000001</c:v>
                </c:pt>
                <c:pt idx="24">
                  <c:v>161.41937999999999</c:v>
                </c:pt>
                <c:pt idx="25">
                  <c:v>161.726629</c:v>
                </c:pt>
                <c:pt idx="26">
                  <c:v>161.989485</c:v>
                </c:pt>
                <c:pt idx="27">
                  <c:v>162.217161</c:v>
                </c:pt>
                <c:pt idx="28">
                  <c:v>162.416327</c:v>
                </c:pt>
                <c:pt idx="29">
                  <c:v>162.591971</c:v>
                </c:pt>
                <c:pt idx="30">
                  <c:v>162.74792199999999</c:v>
                </c:pt>
                <c:pt idx="31">
                  <c:v>162.88719499999999</c:v>
                </c:pt>
                <c:pt idx="32">
                  <c:v>163.01220799999999</c:v>
                </c:pt>
                <c:pt idx="33">
                  <c:v>163.124931</c:v>
                </c:pt>
                <c:pt idx="34">
                  <c:v>163.22699499999999</c:v>
                </c:pt>
                <c:pt idx="35">
                  <c:v>163.319759</c:v>
                </c:pt>
                <c:pt idx="36">
                  <c:v>163.40437</c:v>
                </c:pt>
                <c:pt idx="37">
                  <c:v>163.48180099999999</c:v>
                </c:pt>
                <c:pt idx="38">
                  <c:v>163.55288200000001</c:v>
                </c:pt>
                <c:pt idx="39">
                  <c:v>163.61832699999999</c:v>
                </c:pt>
                <c:pt idx="40">
                  <c:v>163.67874900000001</c:v>
                </c:pt>
                <c:pt idx="41">
                  <c:v>163.73468199999999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87-467B-9198-CF9633D83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1303039"/>
        <c:axId val="1651314559"/>
      </c:scatterChart>
      <c:valAx>
        <c:axId val="1651303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14559"/>
        <c:crosses val="autoZero"/>
        <c:crossBetween val="midCat"/>
      </c:valAx>
      <c:valAx>
        <c:axId val="165131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0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T fundo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Caso1!$D$4:$D$45</c:f>
              <c:numCache>
                <c:formatCode>General</c:formatCode>
                <c:ptCount val="42"/>
                <c:pt idx="0">
                  <c:v>0.5</c:v>
                </c:pt>
                <c:pt idx="1">
                  <c:v>2</c:v>
                </c:pt>
                <c:pt idx="2">
                  <c:v>2.1</c:v>
                </c:pt>
                <c:pt idx="3">
                  <c:v>2.2000000000000002</c:v>
                </c:pt>
                <c:pt idx="4">
                  <c:v>2.2999999999999998</c:v>
                </c:pt>
                <c:pt idx="5">
                  <c:v>2.4</c:v>
                </c:pt>
                <c:pt idx="6">
                  <c:v>2.5</c:v>
                </c:pt>
                <c:pt idx="7">
                  <c:v>2.6</c:v>
                </c:pt>
                <c:pt idx="8">
                  <c:v>2.7</c:v>
                </c:pt>
                <c:pt idx="9">
                  <c:v>2.8</c:v>
                </c:pt>
                <c:pt idx="10">
                  <c:v>2.9</c:v>
                </c:pt>
                <c:pt idx="11">
                  <c:v>3</c:v>
                </c:pt>
                <c:pt idx="12">
                  <c:v>3.1</c:v>
                </c:pt>
                <c:pt idx="13">
                  <c:v>3.2</c:v>
                </c:pt>
                <c:pt idx="14">
                  <c:v>3.3</c:v>
                </c:pt>
                <c:pt idx="15">
                  <c:v>3.4</c:v>
                </c:pt>
                <c:pt idx="16">
                  <c:v>3.5</c:v>
                </c:pt>
                <c:pt idx="17">
                  <c:v>3.6</c:v>
                </c:pt>
                <c:pt idx="18">
                  <c:v>3.7</c:v>
                </c:pt>
                <c:pt idx="19">
                  <c:v>3.8</c:v>
                </c:pt>
                <c:pt idx="20">
                  <c:v>3.9</c:v>
                </c:pt>
                <c:pt idx="21">
                  <c:v>4</c:v>
                </c:pt>
                <c:pt idx="22">
                  <c:v>4.0999999999999996</c:v>
                </c:pt>
                <c:pt idx="23">
                  <c:v>4.2</c:v>
                </c:pt>
                <c:pt idx="24">
                  <c:v>4.3</c:v>
                </c:pt>
                <c:pt idx="25">
                  <c:v>4.4000000000000004</c:v>
                </c:pt>
                <c:pt idx="26">
                  <c:v>4.5</c:v>
                </c:pt>
                <c:pt idx="27">
                  <c:v>4.5999999999999996</c:v>
                </c:pt>
                <c:pt idx="28">
                  <c:v>4.7</c:v>
                </c:pt>
                <c:pt idx="29">
                  <c:v>4.8</c:v>
                </c:pt>
                <c:pt idx="30">
                  <c:v>4.9000000000000004</c:v>
                </c:pt>
                <c:pt idx="31">
                  <c:v>5</c:v>
                </c:pt>
                <c:pt idx="32">
                  <c:v>5.0999999999999996</c:v>
                </c:pt>
                <c:pt idx="33">
                  <c:v>5.2</c:v>
                </c:pt>
                <c:pt idx="34">
                  <c:v>5.3</c:v>
                </c:pt>
                <c:pt idx="35">
                  <c:v>5.4</c:v>
                </c:pt>
                <c:pt idx="36">
                  <c:v>5.5</c:v>
                </c:pt>
                <c:pt idx="37">
                  <c:v>5.6</c:v>
                </c:pt>
                <c:pt idx="38">
                  <c:v>5.7</c:v>
                </c:pt>
                <c:pt idx="39">
                  <c:v>5.8</c:v>
                </c:pt>
                <c:pt idx="40">
                  <c:v>5.9</c:v>
                </c:pt>
                <c:pt idx="41">
                  <c:v>6</c:v>
                </c:pt>
              </c:numCache>
            </c:numRef>
          </c:xVal>
          <c:yVal>
            <c:numRef>
              <c:f>Caso1!$E$4:$E$45</c:f>
              <c:numCache>
                <c:formatCode>General</c:formatCode>
                <c:ptCount val="42"/>
                <c:pt idx="0">
                  <c:v>135.08900600000001</c:v>
                </c:pt>
                <c:pt idx="1">
                  <c:v>165.13945000000001</c:v>
                </c:pt>
                <c:pt idx="2">
                  <c:v>165.56031300000001</c:v>
                </c:pt>
                <c:pt idx="3">
                  <c:v>160.667878</c:v>
                </c:pt>
                <c:pt idx="4">
                  <c:v>162.35520299999999</c:v>
                </c:pt>
                <c:pt idx="5">
                  <c:v>164.03850700000001</c:v>
                </c:pt>
                <c:pt idx="6">
                  <c:v>165.71789200000001</c:v>
                </c:pt>
                <c:pt idx="7">
                  <c:v>165.928439</c:v>
                </c:pt>
                <c:pt idx="8">
                  <c:v>165.95551</c:v>
                </c:pt>
                <c:pt idx="9">
                  <c:v>165.989509</c:v>
                </c:pt>
                <c:pt idx="10">
                  <c:v>166.025407</c:v>
                </c:pt>
                <c:pt idx="11">
                  <c:v>166.06162399999999</c:v>
                </c:pt>
                <c:pt idx="12">
                  <c:v>166.097634</c:v>
                </c:pt>
                <c:pt idx="13">
                  <c:v>166.133286</c:v>
                </c:pt>
                <c:pt idx="14">
                  <c:v>166.168791</c:v>
                </c:pt>
                <c:pt idx="15">
                  <c:v>166.204397</c:v>
                </c:pt>
                <c:pt idx="16">
                  <c:v>166.23939200000001</c:v>
                </c:pt>
                <c:pt idx="17">
                  <c:v>166.27289500000001</c:v>
                </c:pt>
                <c:pt idx="18">
                  <c:v>166.30435900000001</c:v>
                </c:pt>
                <c:pt idx="19">
                  <c:v>166.33341999999999</c:v>
                </c:pt>
                <c:pt idx="20">
                  <c:v>166.35983400000001</c:v>
                </c:pt>
                <c:pt idx="21">
                  <c:v>166.38346200000001</c:v>
                </c:pt>
                <c:pt idx="22">
                  <c:v>166.40427199999999</c:v>
                </c:pt>
                <c:pt idx="23">
                  <c:v>166.42233300000001</c:v>
                </c:pt>
                <c:pt idx="24">
                  <c:v>166.43779499999999</c:v>
                </c:pt>
                <c:pt idx="25">
                  <c:v>166.45086900000001</c:v>
                </c:pt>
                <c:pt idx="26">
                  <c:v>166.461803</c:v>
                </c:pt>
                <c:pt idx="27">
                  <c:v>166.47086200000001</c:v>
                </c:pt>
                <c:pt idx="28">
                  <c:v>166.478309</c:v>
                </c:pt>
                <c:pt idx="29">
                  <c:v>166.48439099999999</c:v>
                </c:pt>
                <c:pt idx="30">
                  <c:v>166.48933099999999</c:v>
                </c:pt>
                <c:pt idx="31">
                  <c:v>166.49332799999999</c:v>
                </c:pt>
                <c:pt idx="32">
                  <c:v>166.49655100000001</c:v>
                </c:pt>
                <c:pt idx="33">
                  <c:v>166.499144</c:v>
                </c:pt>
                <c:pt idx="34">
                  <c:v>166.501228</c:v>
                </c:pt>
                <c:pt idx="35">
                  <c:v>166.50290000000001</c:v>
                </c:pt>
                <c:pt idx="36">
                  <c:v>166.504242</c:v>
                </c:pt>
                <c:pt idx="37">
                  <c:v>166.50531899999999</c:v>
                </c:pt>
                <c:pt idx="38">
                  <c:v>166.50618299999999</c:v>
                </c:pt>
                <c:pt idx="39">
                  <c:v>166.50687600000001</c:v>
                </c:pt>
                <c:pt idx="40">
                  <c:v>166.50743399999999</c:v>
                </c:pt>
                <c:pt idx="41">
                  <c:v>166.50788299999999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25-424E-B598-4918A75F7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015039"/>
        <c:axId val="2116015999"/>
      </c:scatterChart>
      <c:valAx>
        <c:axId val="2116015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15999"/>
        <c:crosses val="autoZero"/>
        <c:crossBetween val="midCat"/>
      </c:valAx>
      <c:valAx>
        <c:axId val="211601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15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recuperação H2S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Caso2!$D$4:$D$45</c:f>
              <c:numCache>
                <c:formatCode>General</c:formatCode>
                <c:ptCount val="42"/>
                <c:pt idx="0">
                  <c:v>0.5</c:v>
                </c:pt>
                <c:pt idx="1">
                  <c:v>2</c:v>
                </c:pt>
                <c:pt idx="2">
                  <c:v>2.1</c:v>
                </c:pt>
                <c:pt idx="3">
                  <c:v>2.2000000000000002</c:v>
                </c:pt>
                <c:pt idx="4">
                  <c:v>2.2999999999999998</c:v>
                </c:pt>
                <c:pt idx="5">
                  <c:v>2.4</c:v>
                </c:pt>
                <c:pt idx="6">
                  <c:v>2.5</c:v>
                </c:pt>
                <c:pt idx="7">
                  <c:v>2.6</c:v>
                </c:pt>
                <c:pt idx="8">
                  <c:v>2.7</c:v>
                </c:pt>
                <c:pt idx="9">
                  <c:v>2.8</c:v>
                </c:pt>
                <c:pt idx="10">
                  <c:v>2.9</c:v>
                </c:pt>
                <c:pt idx="11">
                  <c:v>3</c:v>
                </c:pt>
                <c:pt idx="12">
                  <c:v>3.1</c:v>
                </c:pt>
                <c:pt idx="13">
                  <c:v>3.2</c:v>
                </c:pt>
                <c:pt idx="14">
                  <c:v>3.3</c:v>
                </c:pt>
                <c:pt idx="15">
                  <c:v>3.4</c:v>
                </c:pt>
                <c:pt idx="16">
                  <c:v>3.5</c:v>
                </c:pt>
                <c:pt idx="17">
                  <c:v>3.6</c:v>
                </c:pt>
                <c:pt idx="18">
                  <c:v>3.7</c:v>
                </c:pt>
                <c:pt idx="19">
                  <c:v>3.8</c:v>
                </c:pt>
                <c:pt idx="20">
                  <c:v>3.9</c:v>
                </c:pt>
                <c:pt idx="21">
                  <c:v>4</c:v>
                </c:pt>
                <c:pt idx="22">
                  <c:v>4.0999999999999996</c:v>
                </c:pt>
                <c:pt idx="23">
                  <c:v>4.2</c:v>
                </c:pt>
                <c:pt idx="24">
                  <c:v>4.3</c:v>
                </c:pt>
                <c:pt idx="25">
                  <c:v>4.4000000000000004</c:v>
                </c:pt>
                <c:pt idx="26">
                  <c:v>4.5</c:v>
                </c:pt>
                <c:pt idx="27">
                  <c:v>4.5999999999999996</c:v>
                </c:pt>
                <c:pt idx="28">
                  <c:v>4.7</c:v>
                </c:pt>
                <c:pt idx="29">
                  <c:v>4.8</c:v>
                </c:pt>
                <c:pt idx="30">
                  <c:v>4.9000000000000004</c:v>
                </c:pt>
                <c:pt idx="31">
                  <c:v>5</c:v>
                </c:pt>
                <c:pt idx="32">
                  <c:v>5.0999999999999996</c:v>
                </c:pt>
                <c:pt idx="33">
                  <c:v>5.2</c:v>
                </c:pt>
                <c:pt idx="34">
                  <c:v>5.3</c:v>
                </c:pt>
                <c:pt idx="35">
                  <c:v>5.4</c:v>
                </c:pt>
                <c:pt idx="36">
                  <c:v>5.5</c:v>
                </c:pt>
                <c:pt idx="37">
                  <c:v>5.6</c:v>
                </c:pt>
                <c:pt idx="38">
                  <c:v>5.7</c:v>
                </c:pt>
                <c:pt idx="39">
                  <c:v>5.8</c:v>
                </c:pt>
                <c:pt idx="40">
                  <c:v>5.9</c:v>
                </c:pt>
                <c:pt idx="41">
                  <c:v>6</c:v>
                </c:pt>
              </c:numCache>
            </c:numRef>
          </c:xVal>
          <c:yVal>
            <c:numRef>
              <c:f>Caso2!$S$4:$S$45</c:f>
              <c:numCache>
                <c:formatCode>0.00</c:formatCode>
                <c:ptCount val="42"/>
                <c:pt idx="0">
                  <c:v>7.6078050249433101E-37</c:v>
                </c:pt>
                <c:pt idx="1">
                  <c:v>13.990358784580499</c:v>
                </c:pt>
                <c:pt idx="2">
                  <c:v>23.924536743764175</c:v>
                </c:pt>
                <c:pt idx="3">
                  <c:v>34.262722176870746</c:v>
                </c:pt>
                <c:pt idx="4">
                  <c:v>45.001160272108841</c:v>
                </c:pt>
                <c:pt idx="5">
                  <c:v>56.140790421768706</c:v>
                </c:pt>
                <c:pt idx="6">
                  <c:v>67.694865850340136</c:v>
                </c:pt>
                <c:pt idx="7">
                  <c:v>79.671633560090712</c:v>
                </c:pt>
                <c:pt idx="8">
                  <c:v>92.079105306122457</c:v>
                </c:pt>
                <c:pt idx="9">
                  <c:v>100.00000072562358</c:v>
                </c:pt>
                <c:pt idx="10">
                  <c:v>99.999998548752842</c:v>
                </c:pt>
                <c:pt idx="11">
                  <c:v>99.999992018140588</c:v>
                </c:pt>
                <c:pt idx="12">
                  <c:v>99.999997823129249</c:v>
                </c:pt>
                <c:pt idx="13">
                  <c:v>99.999962993197258</c:v>
                </c:pt>
                <c:pt idx="14">
                  <c:v>99.999964444444444</c:v>
                </c:pt>
                <c:pt idx="15">
                  <c:v>100.00000145124716</c:v>
                </c:pt>
                <c:pt idx="16">
                  <c:v>99.999992743764167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99.99999709750567</c:v>
                </c:pt>
                <c:pt idx="23">
                  <c:v>99.999998548752842</c:v>
                </c:pt>
                <c:pt idx="24">
                  <c:v>99.999999274376421</c:v>
                </c:pt>
                <c:pt idx="25">
                  <c:v>99.999999274376421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03-4F09-932D-403A8579E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60831"/>
        <c:axId val="627070911"/>
      </c:scatterChart>
      <c:valAx>
        <c:axId val="62706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70911"/>
        <c:crosses val="autoZero"/>
        <c:crossBetween val="midCat"/>
      </c:valAx>
      <c:valAx>
        <c:axId val="627070911"/>
        <c:scaling>
          <c:orientation val="minMax"/>
          <c:max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60831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perda NH3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Caso2!$D$4:$D$45</c:f>
              <c:numCache>
                <c:formatCode>General</c:formatCode>
                <c:ptCount val="42"/>
                <c:pt idx="0">
                  <c:v>0.5</c:v>
                </c:pt>
                <c:pt idx="1">
                  <c:v>2</c:v>
                </c:pt>
                <c:pt idx="2">
                  <c:v>2.1</c:v>
                </c:pt>
                <c:pt idx="3">
                  <c:v>2.2000000000000002</c:v>
                </c:pt>
                <c:pt idx="4">
                  <c:v>2.2999999999999998</c:v>
                </c:pt>
                <c:pt idx="5">
                  <c:v>2.4</c:v>
                </c:pt>
                <c:pt idx="6">
                  <c:v>2.5</c:v>
                </c:pt>
                <c:pt idx="7">
                  <c:v>2.6</c:v>
                </c:pt>
                <c:pt idx="8">
                  <c:v>2.7</c:v>
                </c:pt>
                <c:pt idx="9">
                  <c:v>2.8</c:v>
                </c:pt>
                <c:pt idx="10">
                  <c:v>2.9</c:v>
                </c:pt>
                <c:pt idx="11">
                  <c:v>3</c:v>
                </c:pt>
                <c:pt idx="12">
                  <c:v>3.1</c:v>
                </c:pt>
                <c:pt idx="13">
                  <c:v>3.2</c:v>
                </c:pt>
                <c:pt idx="14">
                  <c:v>3.3</c:v>
                </c:pt>
                <c:pt idx="15">
                  <c:v>3.4</c:v>
                </c:pt>
                <c:pt idx="16">
                  <c:v>3.5</c:v>
                </c:pt>
                <c:pt idx="17">
                  <c:v>3.6</c:v>
                </c:pt>
                <c:pt idx="18">
                  <c:v>3.7</c:v>
                </c:pt>
                <c:pt idx="19">
                  <c:v>3.8</c:v>
                </c:pt>
                <c:pt idx="20">
                  <c:v>3.9</c:v>
                </c:pt>
                <c:pt idx="21">
                  <c:v>4</c:v>
                </c:pt>
                <c:pt idx="22">
                  <c:v>4.0999999999999996</c:v>
                </c:pt>
                <c:pt idx="23">
                  <c:v>4.2</c:v>
                </c:pt>
                <c:pt idx="24">
                  <c:v>4.3</c:v>
                </c:pt>
                <c:pt idx="25">
                  <c:v>4.4000000000000004</c:v>
                </c:pt>
                <c:pt idx="26">
                  <c:v>4.5</c:v>
                </c:pt>
                <c:pt idx="27">
                  <c:v>4.5999999999999996</c:v>
                </c:pt>
                <c:pt idx="28">
                  <c:v>4.7</c:v>
                </c:pt>
                <c:pt idx="29">
                  <c:v>4.8</c:v>
                </c:pt>
                <c:pt idx="30">
                  <c:v>4.9000000000000004</c:v>
                </c:pt>
                <c:pt idx="31">
                  <c:v>5</c:v>
                </c:pt>
                <c:pt idx="32">
                  <c:v>5.0999999999999996</c:v>
                </c:pt>
                <c:pt idx="33">
                  <c:v>5.2</c:v>
                </c:pt>
                <c:pt idx="34">
                  <c:v>5.3</c:v>
                </c:pt>
                <c:pt idx="35">
                  <c:v>5.4</c:v>
                </c:pt>
                <c:pt idx="36">
                  <c:v>5.5</c:v>
                </c:pt>
                <c:pt idx="37">
                  <c:v>5.6</c:v>
                </c:pt>
                <c:pt idx="38">
                  <c:v>5.7</c:v>
                </c:pt>
                <c:pt idx="39">
                  <c:v>5.8</c:v>
                </c:pt>
                <c:pt idx="40">
                  <c:v>5.9</c:v>
                </c:pt>
                <c:pt idx="41">
                  <c:v>6</c:v>
                </c:pt>
              </c:numCache>
            </c:numRef>
          </c:xVal>
          <c:yVal>
            <c:numRef>
              <c:f>Caso2!$T$4:$T$45</c:f>
              <c:numCache>
                <c:formatCode>0.00</c:formatCode>
                <c:ptCount val="42"/>
                <c:pt idx="0">
                  <c:v>0.48154981841269845</c:v>
                </c:pt>
                <c:pt idx="1">
                  <c:v>2.516562167195767E-4</c:v>
                </c:pt>
                <c:pt idx="2">
                  <c:v>4.4079978412698412E-4</c:v>
                </c:pt>
                <c:pt idx="3">
                  <c:v>6.4932311026455025E-4</c:v>
                </c:pt>
                <c:pt idx="4">
                  <c:v>8.8134836825396823E-4</c:v>
                </c:pt>
                <c:pt idx="5">
                  <c:v>1.1422335407407409E-3</c:v>
                </c:pt>
                <c:pt idx="6">
                  <c:v>1.4390682074074076E-3</c:v>
                </c:pt>
                <c:pt idx="7">
                  <c:v>1.780641058201058E-3</c:v>
                </c:pt>
                <c:pt idx="8">
                  <c:v>2.1779324021164023E-3</c:v>
                </c:pt>
                <c:pt idx="9">
                  <c:v>0.39715816804232801</c:v>
                </c:pt>
                <c:pt idx="10">
                  <c:v>3.4580884148148154</c:v>
                </c:pt>
                <c:pt idx="11">
                  <c:v>8.3024188613756618</c:v>
                </c:pt>
                <c:pt idx="12">
                  <c:v>13.713896126984126</c:v>
                </c:pt>
                <c:pt idx="13">
                  <c:v>19.269193227513227</c:v>
                </c:pt>
                <c:pt idx="14">
                  <c:v>24.840647619047619</c:v>
                </c:pt>
                <c:pt idx="15">
                  <c:v>30.392536550264548</c:v>
                </c:pt>
                <c:pt idx="16">
                  <c:v>35.948779005291009</c:v>
                </c:pt>
                <c:pt idx="17">
                  <c:v>41.594394497354493</c:v>
                </c:pt>
                <c:pt idx="18">
                  <c:v>47.294167026455028</c:v>
                </c:pt>
                <c:pt idx="19">
                  <c:v>52.878029968253962</c:v>
                </c:pt>
                <c:pt idx="20">
                  <c:v>58.231675851851854</c:v>
                </c:pt>
                <c:pt idx="21">
                  <c:v>63.28859817989418</c:v>
                </c:pt>
                <c:pt idx="22">
                  <c:v>68.002408465608468</c:v>
                </c:pt>
                <c:pt idx="23">
                  <c:v>72.339863788359779</c:v>
                </c:pt>
                <c:pt idx="24">
                  <c:v>76.279348148148145</c:v>
                </c:pt>
                <c:pt idx="25">
                  <c:v>79.81135771428572</c:v>
                </c:pt>
                <c:pt idx="26">
                  <c:v>82.938284105820102</c:v>
                </c:pt>
                <c:pt idx="27">
                  <c:v>85.67338328042328</c:v>
                </c:pt>
                <c:pt idx="28">
                  <c:v>88.038940105820103</c:v>
                </c:pt>
                <c:pt idx="29">
                  <c:v>90.063915343915355</c:v>
                </c:pt>
                <c:pt idx="30">
                  <c:v>91.781428148148137</c:v>
                </c:pt>
                <c:pt idx="31">
                  <c:v>93.226418624338621</c:v>
                </c:pt>
                <c:pt idx="32">
                  <c:v>94.433678730158732</c:v>
                </c:pt>
                <c:pt idx="33">
                  <c:v>95.436391957671958</c:v>
                </c:pt>
                <c:pt idx="34">
                  <c:v>96.265148783068781</c:v>
                </c:pt>
                <c:pt idx="35">
                  <c:v>96.947406560846574</c:v>
                </c:pt>
                <c:pt idx="36">
                  <c:v>97.507289735449731</c:v>
                </c:pt>
                <c:pt idx="37">
                  <c:v>97.965626243386239</c:v>
                </c:pt>
                <c:pt idx="38">
                  <c:v>98.340153227513227</c:v>
                </c:pt>
                <c:pt idx="39">
                  <c:v>98.645806560846552</c:v>
                </c:pt>
                <c:pt idx="40">
                  <c:v>98.895049312169306</c:v>
                </c:pt>
                <c:pt idx="41">
                  <c:v>99.09820952380953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6F-44D6-BFDA-CDA9A7DA1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31071"/>
        <c:axId val="627048351"/>
      </c:scatterChart>
      <c:valAx>
        <c:axId val="627031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48351"/>
        <c:crosses val="autoZero"/>
        <c:crossBetween val="midCat"/>
      </c:valAx>
      <c:valAx>
        <c:axId val="627048351"/>
        <c:scaling>
          <c:orientation val="minMax"/>
          <c:max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31071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T topo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Caso2!$D$4:$D$45</c:f>
              <c:numCache>
                <c:formatCode>General</c:formatCode>
                <c:ptCount val="42"/>
                <c:pt idx="0">
                  <c:v>0.5</c:v>
                </c:pt>
                <c:pt idx="1">
                  <c:v>2</c:v>
                </c:pt>
                <c:pt idx="2">
                  <c:v>2.1</c:v>
                </c:pt>
                <c:pt idx="3">
                  <c:v>2.2000000000000002</c:v>
                </c:pt>
                <c:pt idx="4">
                  <c:v>2.2999999999999998</c:v>
                </c:pt>
                <c:pt idx="5">
                  <c:v>2.4</c:v>
                </c:pt>
                <c:pt idx="6">
                  <c:v>2.5</c:v>
                </c:pt>
                <c:pt idx="7">
                  <c:v>2.6</c:v>
                </c:pt>
                <c:pt idx="8">
                  <c:v>2.7</c:v>
                </c:pt>
                <c:pt idx="9">
                  <c:v>2.8</c:v>
                </c:pt>
                <c:pt idx="10">
                  <c:v>2.9</c:v>
                </c:pt>
                <c:pt idx="11">
                  <c:v>3</c:v>
                </c:pt>
                <c:pt idx="12">
                  <c:v>3.1</c:v>
                </c:pt>
                <c:pt idx="13">
                  <c:v>3.2</c:v>
                </c:pt>
                <c:pt idx="14">
                  <c:v>3.3</c:v>
                </c:pt>
                <c:pt idx="15">
                  <c:v>3.4</c:v>
                </c:pt>
                <c:pt idx="16">
                  <c:v>3.5</c:v>
                </c:pt>
                <c:pt idx="17">
                  <c:v>3.6</c:v>
                </c:pt>
                <c:pt idx="18">
                  <c:v>3.7</c:v>
                </c:pt>
                <c:pt idx="19">
                  <c:v>3.8</c:v>
                </c:pt>
                <c:pt idx="20">
                  <c:v>3.9</c:v>
                </c:pt>
                <c:pt idx="21">
                  <c:v>4</c:v>
                </c:pt>
                <c:pt idx="22">
                  <c:v>4.0999999999999996</c:v>
                </c:pt>
                <c:pt idx="23">
                  <c:v>4.2</c:v>
                </c:pt>
                <c:pt idx="24">
                  <c:v>4.3</c:v>
                </c:pt>
                <c:pt idx="25">
                  <c:v>4.4000000000000004</c:v>
                </c:pt>
                <c:pt idx="26">
                  <c:v>4.5</c:v>
                </c:pt>
                <c:pt idx="27">
                  <c:v>4.5999999999999996</c:v>
                </c:pt>
                <c:pt idx="28">
                  <c:v>4.7</c:v>
                </c:pt>
                <c:pt idx="29">
                  <c:v>4.8</c:v>
                </c:pt>
                <c:pt idx="30">
                  <c:v>4.9000000000000004</c:v>
                </c:pt>
                <c:pt idx="31">
                  <c:v>5</c:v>
                </c:pt>
                <c:pt idx="32">
                  <c:v>5.0999999999999996</c:v>
                </c:pt>
                <c:pt idx="33">
                  <c:v>5.2</c:v>
                </c:pt>
                <c:pt idx="34">
                  <c:v>5.3</c:v>
                </c:pt>
                <c:pt idx="35">
                  <c:v>5.4</c:v>
                </c:pt>
                <c:pt idx="36">
                  <c:v>5.5</c:v>
                </c:pt>
                <c:pt idx="37">
                  <c:v>5.6</c:v>
                </c:pt>
                <c:pt idx="38">
                  <c:v>5.7</c:v>
                </c:pt>
                <c:pt idx="39">
                  <c:v>5.8</c:v>
                </c:pt>
                <c:pt idx="40">
                  <c:v>5.9</c:v>
                </c:pt>
                <c:pt idx="41">
                  <c:v>6</c:v>
                </c:pt>
              </c:numCache>
            </c:numRef>
          </c:xVal>
          <c:yVal>
            <c:numRef>
              <c:f>Caso2!$F$4:$F$45</c:f>
              <c:numCache>
                <c:formatCode>General</c:formatCode>
                <c:ptCount val="42"/>
                <c:pt idx="0">
                  <c:v>225.536824</c:v>
                </c:pt>
                <c:pt idx="1">
                  <c:v>60.063996899999999</c:v>
                </c:pt>
                <c:pt idx="2">
                  <c:v>60.104537999999998</c:v>
                </c:pt>
                <c:pt idx="3">
                  <c:v>60.148628600000002</c:v>
                </c:pt>
                <c:pt idx="4">
                  <c:v>60.1952426</c:v>
                </c:pt>
                <c:pt idx="5">
                  <c:v>60.244799999999998</c:v>
                </c:pt>
                <c:pt idx="6">
                  <c:v>60.296878900000003</c:v>
                </c:pt>
                <c:pt idx="7">
                  <c:v>60.351397300000002</c:v>
                </c:pt>
                <c:pt idx="8">
                  <c:v>60.409010799999997</c:v>
                </c:pt>
                <c:pt idx="9">
                  <c:v>60.937230300000003</c:v>
                </c:pt>
                <c:pt idx="10">
                  <c:v>61.853975300000002</c:v>
                </c:pt>
                <c:pt idx="11">
                  <c:v>63.3521243</c:v>
                </c:pt>
                <c:pt idx="12">
                  <c:v>66.460252600000004</c:v>
                </c:pt>
                <c:pt idx="13">
                  <c:v>72.684186400000002</c:v>
                </c:pt>
                <c:pt idx="14">
                  <c:v>83.691552299999998</c:v>
                </c:pt>
                <c:pt idx="15">
                  <c:v>99.852890099999996</c:v>
                </c:pt>
                <c:pt idx="16">
                  <c:v>119.758368</c:v>
                </c:pt>
                <c:pt idx="17">
                  <c:v>137.61830900000001</c:v>
                </c:pt>
                <c:pt idx="18">
                  <c:v>147.822441</c:v>
                </c:pt>
                <c:pt idx="19">
                  <c:v>152.88754299999999</c:v>
                </c:pt>
                <c:pt idx="20">
                  <c:v>155.672056</c:v>
                </c:pt>
                <c:pt idx="21">
                  <c:v>157.39433099999999</c:v>
                </c:pt>
                <c:pt idx="22">
                  <c:v>158.559989</c:v>
                </c:pt>
                <c:pt idx="23">
                  <c:v>159.403279</c:v>
                </c:pt>
                <c:pt idx="24">
                  <c:v>160.04485600000001</c:v>
                </c:pt>
                <c:pt idx="25">
                  <c:v>160.55228199999999</c:v>
                </c:pt>
                <c:pt idx="26">
                  <c:v>160.96596299999999</c:v>
                </c:pt>
                <c:pt idx="27">
                  <c:v>161.31136599999999</c:v>
                </c:pt>
                <c:pt idx="28">
                  <c:v>161.60524799999999</c:v>
                </c:pt>
                <c:pt idx="29">
                  <c:v>161.85905</c:v>
                </c:pt>
                <c:pt idx="30">
                  <c:v>162.08085199999999</c:v>
                </c:pt>
                <c:pt idx="31">
                  <c:v>162.27653699999999</c:v>
                </c:pt>
                <c:pt idx="32">
                  <c:v>162.450515</c:v>
                </c:pt>
                <c:pt idx="33">
                  <c:v>162.60617999999999</c:v>
                </c:pt>
                <c:pt idx="34">
                  <c:v>162.746205</c:v>
                </c:pt>
                <c:pt idx="35">
                  <c:v>162.87274300000001</c:v>
                </c:pt>
                <c:pt idx="36">
                  <c:v>162.98755600000001</c:v>
                </c:pt>
                <c:pt idx="37">
                  <c:v>163.09210899999999</c:v>
                </c:pt>
                <c:pt idx="38">
                  <c:v>163.187636</c:v>
                </c:pt>
                <c:pt idx="39">
                  <c:v>163.275183</c:v>
                </c:pt>
                <c:pt idx="40">
                  <c:v>163.355648</c:v>
                </c:pt>
                <c:pt idx="41">
                  <c:v>163.42980399999999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68-4AF0-B5EE-C90683B33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1303039"/>
        <c:axId val="1651314559"/>
      </c:scatterChart>
      <c:valAx>
        <c:axId val="1651303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14559"/>
        <c:crosses val="autoZero"/>
        <c:crossBetween val="midCat"/>
      </c:valAx>
      <c:valAx>
        <c:axId val="165131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0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T fundo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Caso2!$D$4:$D$45</c:f>
              <c:numCache>
                <c:formatCode>General</c:formatCode>
                <c:ptCount val="42"/>
                <c:pt idx="0">
                  <c:v>0.5</c:v>
                </c:pt>
                <c:pt idx="1">
                  <c:v>2</c:v>
                </c:pt>
                <c:pt idx="2">
                  <c:v>2.1</c:v>
                </c:pt>
                <c:pt idx="3">
                  <c:v>2.2000000000000002</c:v>
                </c:pt>
                <c:pt idx="4">
                  <c:v>2.2999999999999998</c:v>
                </c:pt>
                <c:pt idx="5">
                  <c:v>2.4</c:v>
                </c:pt>
                <c:pt idx="6">
                  <c:v>2.5</c:v>
                </c:pt>
                <c:pt idx="7">
                  <c:v>2.6</c:v>
                </c:pt>
                <c:pt idx="8">
                  <c:v>2.7</c:v>
                </c:pt>
                <c:pt idx="9">
                  <c:v>2.8</c:v>
                </c:pt>
                <c:pt idx="10">
                  <c:v>2.9</c:v>
                </c:pt>
                <c:pt idx="11">
                  <c:v>3</c:v>
                </c:pt>
                <c:pt idx="12">
                  <c:v>3.1</c:v>
                </c:pt>
                <c:pt idx="13">
                  <c:v>3.2</c:v>
                </c:pt>
                <c:pt idx="14">
                  <c:v>3.3</c:v>
                </c:pt>
                <c:pt idx="15">
                  <c:v>3.4</c:v>
                </c:pt>
                <c:pt idx="16">
                  <c:v>3.5</c:v>
                </c:pt>
                <c:pt idx="17">
                  <c:v>3.6</c:v>
                </c:pt>
                <c:pt idx="18">
                  <c:v>3.7</c:v>
                </c:pt>
                <c:pt idx="19">
                  <c:v>3.8</c:v>
                </c:pt>
                <c:pt idx="20">
                  <c:v>3.9</c:v>
                </c:pt>
                <c:pt idx="21">
                  <c:v>4</c:v>
                </c:pt>
                <c:pt idx="22">
                  <c:v>4.0999999999999996</c:v>
                </c:pt>
                <c:pt idx="23">
                  <c:v>4.2</c:v>
                </c:pt>
                <c:pt idx="24">
                  <c:v>4.3</c:v>
                </c:pt>
                <c:pt idx="25">
                  <c:v>4.4000000000000004</c:v>
                </c:pt>
                <c:pt idx="26">
                  <c:v>4.5</c:v>
                </c:pt>
                <c:pt idx="27">
                  <c:v>4.5999999999999996</c:v>
                </c:pt>
                <c:pt idx="28">
                  <c:v>4.7</c:v>
                </c:pt>
                <c:pt idx="29">
                  <c:v>4.8</c:v>
                </c:pt>
                <c:pt idx="30">
                  <c:v>4.9000000000000004</c:v>
                </c:pt>
                <c:pt idx="31">
                  <c:v>5</c:v>
                </c:pt>
                <c:pt idx="32">
                  <c:v>5.0999999999999996</c:v>
                </c:pt>
                <c:pt idx="33">
                  <c:v>5.2</c:v>
                </c:pt>
                <c:pt idx="34">
                  <c:v>5.3</c:v>
                </c:pt>
                <c:pt idx="35">
                  <c:v>5.4</c:v>
                </c:pt>
                <c:pt idx="36">
                  <c:v>5.5</c:v>
                </c:pt>
                <c:pt idx="37">
                  <c:v>5.6</c:v>
                </c:pt>
                <c:pt idx="38">
                  <c:v>5.7</c:v>
                </c:pt>
                <c:pt idx="39">
                  <c:v>5.8</c:v>
                </c:pt>
                <c:pt idx="40">
                  <c:v>5.9</c:v>
                </c:pt>
                <c:pt idx="41">
                  <c:v>6</c:v>
                </c:pt>
              </c:numCache>
            </c:numRef>
          </c:xVal>
          <c:yVal>
            <c:numRef>
              <c:f>Caso2!$E$4:$E$45</c:f>
              <c:numCache>
                <c:formatCode>General</c:formatCode>
                <c:ptCount val="42"/>
                <c:pt idx="0">
                  <c:v>134.688771</c:v>
                </c:pt>
                <c:pt idx="1">
                  <c:v>154.19243299999999</c:v>
                </c:pt>
                <c:pt idx="2">
                  <c:v>155.74164999999999</c:v>
                </c:pt>
                <c:pt idx="3">
                  <c:v>157.287328</c:v>
                </c:pt>
                <c:pt idx="4">
                  <c:v>158.829508</c:v>
                </c:pt>
                <c:pt idx="5">
                  <c:v>160.36881299999999</c:v>
                </c:pt>
                <c:pt idx="6">
                  <c:v>161.90493599999999</c:v>
                </c:pt>
                <c:pt idx="7">
                  <c:v>163.43766600000001</c:v>
                </c:pt>
                <c:pt idx="8">
                  <c:v>164.967197</c:v>
                </c:pt>
                <c:pt idx="9">
                  <c:v>165.91718800000001</c:v>
                </c:pt>
                <c:pt idx="10">
                  <c:v>165.93538100000001</c:v>
                </c:pt>
                <c:pt idx="11">
                  <c:v>165.96419299999999</c:v>
                </c:pt>
                <c:pt idx="12">
                  <c:v>165.996375</c:v>
                </c:pt>
                <c:pt idx="13">
                  <c:v>166.02940000000001</c:v>
                </c:pt>
                <c:pt idx="14">
                  <c:v>166.06249800000001</c:v>
                </c:pt>
                <c:pt idx="15">
                  <c:v>166.09542500000001</c:v>
                </c:pt>
                <c:pt idx="16">
                  <c:v>166.12824699999999</c:v>
                </c:pt>
                <c:pt idx="17">
                  <c:v>166.16133300000001</c:v>
                </c:pt>
                <c:pt idx="18">
                  <c:v>166.19454400000001</c:v>
                </c:pt>
                <c:pt idx="19">
                  <c:v>166.22709399999999</c:v>
                </c:pt>
                <c:pt idx="20">
                  <c:v>166.25840600000001</c:v>
                </c:pt>
                <c:pt idx="21">
                  <c:v>166.28810799999999</c:v>
                </c:pt>
                <c:pt idx="22">
                  <c:v>166.31591700000001</c:v>
                </c:pt>
                <c:pt idx="23">
                  <c:v>166.34161900000001</c:v>
                </c:pt>
                <c:pt idx="24">
                  <c:v>166.36506700000001</c:v>
                </c:pt>
                <c:pt idx="25">
                  <c:v>166.386179</c:v>
                </c:pt>
                <c:pt idx="26">
                  <c:v>166.40495000000001</c:v>
                </c:pt>
                <c:pt idx="27">
                  <c:v>166.421436</c:v>
                </c:pt>
                <c:pt idx="28">
                  <c:v>166.43575200000001</c:v>
                </c:pt>
                <c:pt idx="29">
                  <c:v>166.44805600000001</c:v>
                </c:pt>
                <c:pt idx="30">
                  <c:v>166.45853299999999</c:v>
                </c:pt>
                <c:pt idx="31">
                  <c:v>166.46738199999999</c:v>
                </c:pt>
                <c:pt idx="32">
                  <c:v>166.47480300000001</c:v>
                </c:pt>
                <c:pt idx="33">
                  <c:v>166.48098999999999</c:v>
                </c:pt>
                <c:pt idx="34">
                  <c:v>166.48612199999999</c:v>
                </c:pt>
                <c:pt idx="35">
                  <c:v>166.490364</c:v>
                </c:pt>
                <c:pt idx="36">
                  <c:v>166.49385699999999</c:v>
                </c:pt>
                <c:pt idx="37">
                  <c:v>166.49672799999999</c:v>
                </c:pt>
                <c:pt idx="38">
                  <c:v>166.49908199999999</c:v>
                </c:pt>
                <c:pt idx="39">
                  <c:v>166.50101100000001</c:v>
                </c:pt>
                <c:pt idx="40">
                  <c:v>166.502589</c:v>
                </c:pt>
                <c:pt idx="41">
                  <c:v>166.50388000000001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23-486C-AECE-1409BF8F6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015039"/>
        <c:axId val="2116015999"/>
      </c:scatterChart>
      <c:valAx>
        <c:axId val="2116015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15999"/>
        <c:crosses val="autoZero"/>
        <c:crossBetween val="midCat"/>
      </c:valAx>
      <c:valAx>
        <c:axId val="211601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15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recuperação H2S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Caso3!$D$4:$D$45</c:f>
              <c:numCache>
                <c:formatCode>General</c:formatCode>
                <c:ptCount val="42"/>
                <c:pt idx="0">
                  <c:v>0.5</c:v>
                </c:pt>
                <c:pt idx="1">
                  <c:v>2</c:v>
                </c:pt>
                <c:pt idx="2">
                  <c:v>2.1</c:v>
                </c:pt>
                <c:pt idx="3">
                  <c:v>2.2000000000000002</c:v>
                </c:pt>
                <c:pt idx="4">
                  <c:v>2.2999999999999998</c:v>
                </c:pt>
                <c:pt idx="5">
                  <c:v>2.4</c:v>
                </c:pt>
                <c:pt idx="6">
                  <c:v>2.5</c:v>
                </c:pt>
                <c:pt idx="7">
                  <c:v>2.6</c:v>
                </c:pt>
                <c:pt idx="8">
                  <c:v>2.7</c:v>
                </c:pt>
                <c:pt idx="9">
                  <c:v>2.8</c:v>
                </c:pt>
                <c:pt idx="10">
                  <c:v>2.9</c:v>
                </c:pt>
                <c:pt idx="11">
                  <c:v>3</c:v>
                </c:pt>
                <c:pt idx="12">
                  <c:v>3.1</c:v>
                </c:pt>
                <c:pt idx="13">
                  <c:v>3.2</c:v>
                </c:pt>
                <c:pt idx="14">
                  <c:v>3.3</c:v>
                </c:pt>
                <c:pt idx="15">
                  <c:v>3.4</c:v>
                </c:pt>
                <c:pt idx="16">
                  <c:v>3.5</c:v>
                </c:pt>
                <c:pt idx="17">
                  <c:v>3.6</c:v>
                </c:pt>
                <c:pt idx="18">
                  <c:v>3.7</c:v>
                </c:pt>
                <c:pt idx="19">
                  <c:v>3.8</c:v>
                </c:pt>
                <c:pt idx="20">
                  <c:v>3.9</c:v>
                </c:pt>
                <c:pt idx="21">
                  <c:v>4</c:v>
                </c:pt>
                <c:pt idx="22">
                  <c:v>4.0999999999999996</c:v>
                </c:pt>
                <c:pt idx="23">
                  <c:v>4.2</c:v>
                </c:pt>
                <c:pt idx="24">
                  <c:v>4.3</c:v>
                </c:pt>
                <c:pt idx="25">
                  <c:v>4.4000000000000004</c:v>
                </c:pt>
                <c:pt idx="26">
                  <c:v>4.5</c:v>
                </c:pt>
                <c:pt idx="27">
                  <c:v>4.5999999999999996</c:v>
                </c:pt>
                <c:pt idx="28">
                  <c:v>4.7</c:v>
                </c:pt>
                <c:pt idx="29">
                  <c:v>4.8</c:v>
                </c:pt>
                <c:pt idx="30">
                  <c:v>4.9000000000000004</c:v>
                </c:pt>
                <c:pt idx="31">
                  <c:v>5</c:v>
                </c:pt>
                <c:pt idx="32">
                  <c:v>5.0999999999999996</c:v>
                </c:pt>
                <c:pt idx="33">
                  <c:v>5.2</c:v>
                </c:pt>
                <c:pt idx="34">
                  <c:v>5.3</c:v>
                </c:pt>
                <c:pt idx="35">
                  <c:v>5.4</c:v>
                </c:pt>
                <c:pt idx="36">
                  <c:v>5.5</c:v>
                </c:pt>
                <c:pt idx="37">
                  <c:v>5.6</c:v>
                </c:pt>
                <c:pt idx="38">
                  <c:v>5.7</c:v>
                </c:pt>
                <c:pt idx="39">
                  <c:v>5.8</c:v>
                </c:pt>
                <c:pt idx="40">
                  <c:v>5.9</c:v>
                </c:pt>
                <c:pt idx="41">
                  <c:v>6</c:v>
                </c:pt>
              </c:numCache>
            </c:numRef>
          </c:xVal>
          <c:yVal>
            <c:numRef>
              <c:f>Caso3!$S$4:$S$45</c:f>
              <c:numCache>
                <c:formatCode>0.00</c:formatCode>
                <c:ptCount val="42"/>
                <c:pt idx="0">
                  <c:v>2.7416038933333333E-4</c:v>
                </c:pt>
                <c:pt idx="1">
                  <c:v>5.7973832761904767</c:v>
                </c:pt>
                <c:pt idx="2">
                  <c:v>15.943703923809524</c:v>
                </c:pt>
                <c:pt idx="3">
                  <c:v>26.478499428571428</c:v>
                </c:pt>
                <c:pt idx="4">
                  <c:v>37.460004495238103</c:v>
                </c:pt>
                <c:pt idx="5">
                  <c:v>48.87449241904762</c:v>
                </c:pt>
                <c:pt idx="6">
                  <c:v>60.739060190476195</c:v>
                </c:pt>
                <c:pt idx="7">
                  <c:v>73.063217523809527</c:v>
                </c:pt>
                <c:pt idx="8">
                  <c:v>85.856178285714293</c:v>
                </c:pt>
                <c:pt idx="9">
                  <c:v>99.12751161904761</c:v>
                </c:pt>
                <c:pt idx="10">
                  <c:v>99.99999161904762</c:v>
                </c:pt>
                <c:pt idx="11">
                  <c:v>99.999998476190484</c:v>
                </c:pt>
                <c:pt idx="12">
                  <c:v>99.999980190476194</c:v>
                </c:pt>
                <c:pt idx="13">
                  <c:v>100</c:v>
                </c:pt>
                <c:pt idx="14">
                  <c:v>99.999942095238083</c:v>
                </c:pt>
                <c:pt idx="15">
                  <c:v>99.999987047619044</c:v>
                </c:pt>
                <c:pt idx="16">
                  <c:v>99.999989333333346</c:v>
                </c:pt>
                <c:pt idx="17">
                  <c:v>100</c:v>
                </c:pt>
                <c:pt idx="18">
                  <c:v>99.999997714285712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99.999994666666666</c:v>
                </c:pt>
                <c:pt idx="23">
                  <c:v>99.999997714285712</c:v>
                </c:pt>
                <c:pt idx="24">
                  <c:v>99.999999238095242</c:v>
                </c:pt>
                <c:pt idx="25">
                  <c:v>99.999999238095242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4D-447F-BD61-ED6DF6725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60831"/>
        <c:axId val="627070911"/>
      </c:scatterChart>
      <c:valAx>
        <c:axId val="62706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70911"/>
        <c:crosses val="autoZero"/>
        <c:crossBetween val="midCat"/>
      </c:valAx>
      <c:valAx>
        <c:axId val="627070911"/>
        <c:scaling>
          <c:orientation val="minMax"/>
          <c:max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60831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perda NH3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Caso3!$D$4:$D$45</c:f>
              <c:numCache>
                <c:formatCode>General</c:formatCode>
                <c:ptCount val="42"/>
                <c:pt idx="0">
                  <c:v>0.5</c:v>
                </c:pt>
                <c:pt idx="1">
                  <c:v>2</c:v>
                </c:pt>
                <c:pt idx="2">
                  <c:v>2.1</c:v>
                </c:pt>
                <c:pt idx="3">
                  <c:v>2.2000000000000002</c:v>
                </c:pt>
                <c:pt idx="4">
                  <c:v>2.2999999999999998</c:v>
                </c:pt>
                <c:pt idx="5">
                  <c:v>2.4</c:v>
                </c:pt>
                <c:pt idx="6">
                  <c:v>2.5</c:v>
                </c:pt>
                <c:pt idx="7">
                  <c:v>2.6</c:v>
                </c:pt>
                <c:pt idx="8">
                  <c:v>2.7</c:v>
                </c:pt>
                <c:pt idx="9">
                  <c:v>2.8</c:v>
                </c:pt>
                <c:pt idx="10">
                  <c:v>2.9</c:v>
                </c:pt>
                <c:pt idx="11">
                  <c:v>3</c:v>
                </c:pt>
                <c:pt idx="12">
                  <c:v>3.1</c:v>
                </c:pt>
                <c:pt idx="13">
                  <c:v>3.2</c:v>
                </c:pt>
                <c:pt idx="14">
                  <c:v>3.3</c:v>
                </c:pt>
                <c:pt idx="15">
                  <c:v>3.4</c:v>
                </c:pt>
                <c:pt idx="16">
                  <c:v>3.5</c:v>
                </c:pt>
                <c:pt idx="17">
                  <c:v>3.6</c:v>
                </c:pt>
                <c:pt idx="18">
                  <c:v>3.7</c:v>
                </c:pt>
                <c:pt idx="19">
                  <c:v>3.8</c:v>
                </c:pt>
                <c:pt idx="20">
                  <c:v>3.9</c:v>
                </c:pt>
                <c:pt idx="21">
                  <c:v>4</c:v>
                </c:pt>
                <c:pt idx="22">
                  <c:v>4.0999999999999996</c:v>
                </c:pt>
                <c:pt idx="23">
                  <c:v>4.2</c:v>
                </c:pt>
                <c:pt idx="24">
                  <c:v>4.3</c:v>
                </c:pt>
                <c:pt idx="25">
                  <c:v>4.4000000000000004</c:v>
                </c:pt>
                <c:pt idx="26">
                  <c:v>4.5</c:v>
                </c:pt>
                <c:pt idx="27">
                  <c:v>4.5999999999999996</c:v>
                </c:pt>
                <c:pt idx="28">
                  <c:v>4.7</c:v>
                </c:pt>
                <c:pt idx="29">
                  <c:v>4.8</c:v>
                </c:pt>
                <c:pt idx="30">
                  <c:v>4.9000000000000004</c:v>
                </c:pt>
                <c:pt idx="31">
                  <c:v>5</c:v>
                </c:pt>
                <c:pt idx="32">
                  <c:v>5.0999999999999996</c:v>
                </c:pt>
                <c:pt idx="33">
                  <c:v>5.2</c:v>
                </c:pt>
                <c:pt idx="34">
                  <c:v>5.3</c:v>
                </c:pt>
                <c:pt idx="35">
                  <c:v>5.4</c:v>
                </c:pt>
                <c:pt idx="36">
                  <c:v>5.5</c:v>
                </c:pt>
                <c:pt idx="37">
                  <c:v>5.6</c:v>
                </c:pt>
                <c:pt idx="38">
                  <c:v>5.7</c:v>
                </c:pt>
                <c:pt idx="39">
                  <c:v>5.8</c:v>
                </c:pt>
                <c:pt idx="40">
                  <c:v>5.9</c:v>
                </c:pt>
                <c:pt idx="41">
                  <c:v>6</c:v>
                </c:pt>
              </c:numCache>
            </c:numRef>
          </c:xVal>
          <c:yVal>
            <c:numRef>
              <c:f>Caso3!$T$4:$T$45</c:f>
              <c:numCache>
                <c:formatCode>0.00</c:formatCode>
                <c:ptCount val="42"/>
                <c:pt idx="0">
                  <c:v>143.81629244444443</c:v>
                </c:pt>
                <c:pt idx="1">
                  <c:v>1.0338219733333333E-4</c:v>
                </c:pt>
                <c:pt idx="2">
                  <c:v>2.8510454044444446E-4</c:v>
                </c:pt>
                <c:pt idx="3">
                  <c:v>4.8440496177777777E-4</c:v>
                </c:pt>
                <c:pt idx="4">
                  <c:v>7.0390476088888899E-4</c:v>
                </c:pt>
                <c:pt idx="5">
                  <c:v>9.475196444444445E-4</c:v>
                </c:pt>
                <c:pt idx="6">
                  <c:v>1.22092344E-3</c:v>
                </c:pt>
                <c:pt idx="7">
                  <c:v>1.5310692444444444E-3</c:v>
                </c:pt>
                <c:pt idx="8">
                  <c:v>1.8866376533333334E-3</c:v>
                </c:pt>
                <c:pt idx="9">
                  <c:v>2.2984049066666666E-3</c:v>
                </c:pt>
                <c:pt idx="10">
                  <c:v>2.0225896622222224</c:v>
                </c:pt>
                <c:pt idx="11">
                  <c:v>6.9168528266666662</c:v>
                </c:pt>
                <c:pt idx="12">
                  <c:v>12.942993244444445</c:v>
                </c:pt>
                <c:pt idx="13">
                  <c:v>19.260190844444445</c:v>
                </c:pt>
                <c:pt idx="14">
                  <c:v>25.603515822222221</c:v>
                </c:pt>
                <c:pt idx="15">
                  <c:v>31.884206755555553</c:v>
                </c:pt>
                <c:pt idx="16">
                  <c:v>38.083205155555554</c:v>
                </c:pt>
                <c:pt idx="17">
                  <c:v>44.253162577777772</c:v>
                </c:pt>
                <c:pt idx="18">
                  <c:v>50.426579466666674</c:v>
                </c:pt>
                <c:pt idx="19">
                  <c:v>56.440193066666666</c:v>
                </c:pt>
                <c:pt idx="20">
                  <c:v>62.124162044444446</c:v>
                </c:pt>
                <c:pt idx="21">
                  <c:v>67.386677066666664</c:v>
                </c:pt>
                <c:pt idx="22">
                  <c:v>72.177416177777772</c:v>
                </c:pt>
                <c:pt idx="23">
                  <c:v>76.471980977777775</c:v>
                </c:pt>
                <c:pt idx="24">
                  <c:v>80.264984444444451</c:v>
                </c:pt>
                <c:pt idx="25">
                  <c:v>83.568375822222237</c:v>
                </c:pt>
                <c:pt idx="26">
                  <c:v>86.408150666666671</c:v>
                </c:pt>
                <c:pt idx="27">
                  <c:v>88.820694666666668</c:v>
                </c:pt>
                <c:pt idx="28">
                  <c:v>90.848900444444439</c:v>
                </c:pt>
                <c:pt idx="29">
                  <c:v>92.538548444444444</c:v>
                </c:pt>
                <c:pt idx="30">
                  <c:v>93.935311111111105</c:v>
                </c:pt>
                <c:pt idx="31">
                  <c:v>95.082557333333341</c:v>
                </c:pt>
                <c:pt idx="32">
                  <c:v>96.019940444444444</c:v>
                </c:pt>
                <c:pt idx="33">
                  <c:v>96.7826711111111</c:v>
                </c:pt>
                <c:pt idx="34">
                  <c:v>97.401299555555568</c:v>
                </c:pt>
                <c:pt idx="35">
                  <c:v>97.901850666666675</c:v>
                </c:pt>
                <c:pt idx="36">
                  <c:v>98.306176888888899</c:v>
                </c:pt>
                <c:pt idx="37">
                  <c:v>98.632418666666666</c:v>
                </c:pt>
                <c:pt idx="38">
                  <c:v>98.895500444444451</c:v>
                </c:pt>
                <c:pt idx="39">
                  <c:v>99.10761422222221</c:v>
                </c:pt>
                <c:pt idx="40">
                  <c:v>99.278664000000006</c:v>
                </c:pt>
                <c:pt idx="41">
                  <c:v>99.41666577777778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ED-4D82-90E0-E336BC2BD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31071"/>
        <c:axId val="627048351"/>
      </c:scatterChart>
      <c:valAx>
        <c:axId val="627031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48351"/>
        <c:crosses val="autoZero"/>
        <c:crossBetween val="midCat"/>
      </c:valAx>
      <c:valAx>
        <c:axId val="627048351"/>
        <c:scaling>
          <c:orientation val="minMax"/>
          <c:max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31071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T topo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Caso3!$D$4:$D$45</c:f>
              <c:numCache>
                <c:formatCode>General</c:formatCode>
                <c:ptCount val="42"/>
                <c:pt idx="0">
                  <c:v>0.5</c:v>
                </c:pt>
                <c:pt idx="1">
                  <c:v>2</c:v>
                </c:pt>
                <c:pt idx="2">
                  <c:v>2.1</c:v>
                </c:pt>
                <c:pt idx="3">
                  <c:v>2.2000000000000002</c:v>
                </c:pt>
                <c:pt idx="4">
                  <c:v>2.2999999999999998</c:v>
                </c:pt>
                <c:pt idx="5">
                  <c:v>2.4</c:v>
                </c:pt>
                <c:pt idx="6">
                  <c:v>2.5</c:v>
                </c:pt>
                <c:pt idx="7">
                  <c:v>2.6</c:v>
                </c:pt>
                <c:pt idx="8">
                  <c:v>2.7</c:v>
                </c:pt>
                <c:pt idx="9">
                  <c:v>2.8</c:v>
                </c:pt>
                <c:pt idx="10">
                  <c:v>2.9</c:v>
                </c:pt>
                <c:pt idx="11">
                  <c:v>3</c:v>
                </c:pt>
                <c:pt idx="12">
                  <c:v>3.1</c:v>
                </c:pt>
                <c:pt idx="13">
                  <c:v>3.2</c:v>
                </c:pt>
                <c:pt idx="14">
                  <c:v>3.3</c:v>
                </c:pt>
                <c:pt idx="15">
                  <c:v>3.4</c:v>
                </c:pt>
                <c:pt idx="16">
                  <c:v>3.5</c:v>
                </c:pt>
                <c:pt idx="17">
                  <c:v>3.6</c:v>
                </c:pt>
                <c:pt idx="18">
                  <c:v>3.7</c:v>
                </c:pt>
                <c:pt idx="19">
                  <c:v>3.8</c:v>
                </c:pt>
                <c:pt idx="20">
                  <c:v>3.9</c:v>
                </c:pt>
                <c:pt idx="21">
                  <c:v>4</c:v>
                </c:pt>
                <c:pt idx="22">
                  <c:v>4.0999999999999996</c:v>
                </c:pt>
                <c:pt idx="23">
                  <c:v>4.2</c:v>
                </c:pt>
                <c:pt idx="24">
                  <c:v>4.3</c:v>
                </c:pt>
                <c:pt idx="25">
                  <c:v>4.4000000000000004</c:v>
                </c:pt>
                <c:pt idx="26">
                  <c:v>4.5</c:v>
                </c:pt>
                <c:pt idx="27">
                  <c:v>4.5999999999999996</c:v>
                </c:pt>
                <c:pt idx="28">
                  <c:v>4.7</c:v>
                </c:pt>
                <c:pt idx="29">
                  <c:v>4.8</c:v>
                </c:pt>
                <c:pt idx="30">
                  <c:v>4.9000000000000004</c:v>
                </c:pt>
                <c:pt idx="31">
                  <c:v>5</c:v>
                </c:pt>
                <c:pt idx="32">
                  <c:v>5.0999999999999996</c:v>
                </c:pt>
                <c:pt idx="33">
                  <c:v>5.2</c:v>
                </c:pt>
                <c:pt idx="34">
                  <c:v>5.3</c:v>
                </c:pt>
                <c:pt idx="35">
                  <c:v>5.4</c:v>
                </c:pt>
                <c:pt idx="36">
                  <c:v>5.5</c:v>
                </c:pt>
                <c:pt idx="37">
                  <c:v>5.6</c:v>
                </c:pt>
                <c:pt idx="38">
                  <c:v>5.7</c:v>
                </c:pt>
                <c:pt idx="39">
                  <c:v>5.8</c:v>
                </c:pt>
                <c:pt idx="40">
                  <c:v>5.9</c:v>
                </c:pt>
                <c:pt idx="41">
                  <c:v>6</c:v>
                </c:pt>
              </c:numCache>
            </c:numRef>
          </c:xVal>
          <c:yVal>
            <c:numRef>
              <c:f>Caso3!$F$4:$F$45</c:f>
              <c:numCache>
                <c:formatCode>General</c:formatCode>
                <c:ptCount val="42"/>
                <c:pt idx="0">
                  <c:v>85.809546999999995</c:v>
                </c:pt>
                <c:pt idx="1">
                  <c:v>60.034743900000002</c:v>
                </c:pt>
                <c:pt idx="2">
                  <c:v>60.065991199999999</c:v>
                </c:pt>
                <c:pt idx="3">
                  <c:v>60.109769700000001</c:v>
                </c:pt>
                <c:pt idx="4">
                  <c:v>60.154207399999997</c:v>
                </c:pt>
                <c:pt idx="5">
                  <c:v>60.201987299999999</c:v>
                </c:pt>
                <c:pt idx="6">
                  <c:v>60.2523342</c:v>
                </c:pt>
                <c:pt idx="7">
                  <c:v>60.305054200000001</c:v>
                </c:pt>
                <c:pt idx="8">
                  <c:v>60.361092499999998</c:v>
                </c:pt>
                <c:pt idx="9">
                  <c:v>60.419836500000002</c:v>
                </c:pt>
                <c:pt idx="10">
                  <c:v>61.400146399999997</c:v>
                </c:pt>
                <c:pt idx="11">
                  <c:v>62.540273499999998</c:v>
                </c:pt>
                <c:pt idx="12">
                  <c:v>64.972854999999996</c:v>
                </c:pt>
                <c:pt idx="13">
                  <c:v>70.017121700000004</c:v>
                </c:pt>
                <c:pt idx="14">
                  <c:v>79.346055500000006</c:v>
                </c:pt>
                <c:pt idx="15">
                  <c:v>93.479731000000001</c:v>
                </c:pt>
                <c:pt idx="16">
                  <c:v>111.638047</c:v>
                </c:pt>
                <c:pt idx="17">
                  <c:v>130.72806</c:v>
                </c:pt>
                <c:pt idx="18">
                  <c:v>144.081108</c:v>
                </c:pt>
                <c:pt idx="19">
                  <c:v>150.94361799999999</c:v>
                </c:pt>
                <c:pt idx="20">
                  <c:v>154.551042</c:v>
                </c:pt>
                <c:pt idx="21">
                  <c:v>156.6865</c:v>
                </c:pt>
                <c:pt idx="22">
                  <c:v>158.085835</c:v>
                </c:pt>
                <c:pt idx="23">
                  <c:v>159.07482099999999</c:v>
                </c:pt>
                <c:pt idx="24">
                  <c:v>159.81419399999999</c:v>
                </c:pt>
                <c:pt idx="25">
                  <c:v>160.39084500000001</c:v>
                </c:pt>
                <c:pt idx="26">
                  <c:v>160.85534799999999</c:v>
                </c:pt>
                <c:pt idx="27">
                  <c:v>161.23894999999999</c:v>
                </c:pt>
                <c:pt idx="28">
                  <c:v>161.56194400000001</c:v>
                </c:pt>
                <c:pt idx="29">
                  <c:v>161.83808300000001</c:v>
                </c:pt>
                <c:pt idx="30">
                  <c:v>162.077056</c:v>
                </c:pt>
                <c:pt idx="31">
                  <c:v>162.28591499999999</c:v>
                </c:pt>
                <c:pt idx="32">
                  <c:v>162.469953</c:v>
                </c:pt>
                <c:pt idx="33">
                  <c:v>162.63324299999999</c:v>
                </c:pt>
                <c:pt idx="34">
                  <c:v>162.778989</c:v>
                </c:pt>
                <c:pt idx="35">
                  <c:v>162.90975900000001</c:v>
                </c:pt>
                <c:pt idx="36">
                  <c:v>163.02764500000001</c:v>
                </c:pt>
                <c:pt idx="37">
                  <c:v>163.13436999999999</c:v>
                </c:pt>
                <c:pt idx="38">
                  <c:v>163.23136700000001</c:v>
                </c:pt>
                <c:pt idx="39">
                  <c:v>163.31984499999999</c:v>
                </c:pt>
                <c:pt idx="40">
                  <c:v>163.400823</c:v>
                </c:pt>
                <c:pt idx="41">
                  <c:v>163.47517300000001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99-41F9-900E-14A411D1B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1303039"/>
        <c:axId val="1651314559"/>
      </c:scatterChart>
      <c:valAx>
        <c:axId val="1651303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14559"/>
        <c:crosses val="autoZero"/>
        <c:crossBetween val="midCat"/>
      </c:valAx>
      <c:valAx>
        <c:axId val="165131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0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T fundo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Caso3!$D$4:$D$45</c:f>
              <c:numCache>
                <c:formatCode>General</c:formatCode>
                <c:ptCount val="42"/>
                <c:pt idx="0">
                  <c:v>0.5</c:v>
                </c:pt>
                <c:pt idx="1">
                  <c:v>2</c:v>
                </c:pt>
                <c:pt idx="2">
                  <c:v>2.1</c:v>
                </c:pt>
                <c:pt idx="3">
                  <c:v>2.2000000000000002</c:v>
                </c:pt>
                <c:pt idx="4">
                  <c:v>2.2999999999999998</c:v>
                </c:pt>
                <c:pt idx="5">
                  <c:v>2.4</c:v>
                </c:pt>
                <c:pt idx="6">
                  <c:v>2.5</c:v>
                </c:pt>
                <c:pt idx="7">
                  <c:v>2.6</c:v>
                </c:pt>
                <c:pt idx="8">
                  <c:v>2.7</c:v>
                </c:pt>
                <c:pt idx="9">
                  <c:v>2.8</c:v>
                </c:pt>
                <c:pt idx="10">
                  <c:v>2.9</c:v>
                </c:pt>
                <c:pt idx="11">
                  <c:v>3</c:v>
                </c:pt>
                <c:pt idx="12">
                  <c:v>3.1</c:v>
                </c:pt>
                <c:pt idx="13">
                  <c:v>3.2</c:v>
                </c:pt>
                <c:pt idx="14">
                  <c:v>3.3</c:v>
                </c:pt>
                <c:pt idx="15">
                  <c:v>3.4</c:v>
                </c:pt>
                <c:pt idx="16">
                  <c:v>3.5</c:v>
                </c:pt>
                <c:pt idx="17">
                  <c:v>3.6</c:v>
                </c:pt>
                <c:pt idx="18">
                  <c:v>3.7</c:v>
                </c:pt>
                <c:pt idx="19">
                  <c:v>3.8</c:v>
                </c:pt>
                <c:pt idx="20">
                  <c:v>3.9</c:v>
                </c:pt>
                <c:pt idx="21">
                  <c:v>4</c:v>
                </c:pt>
                <c:pt idx="22">
                  <c:v>4.0999999999999996</c:v>
                </c:pt>
                <c:pt idx="23">
                  <c:v>4.2</c:v>
                </c:pt>
                <c:pt idx="24">
                  <c:v>4.3</c:v>
                </c:pt>
                <c:pt idx="25">
                  <c:v>4.4000000000000004</c:v>
                </c:pt>
                <c:pt idx="26">
                  <c:v>4.5</c:v>
                </c:pt>
                <c:pt idx="27">
                  <c:v>4.5999999999999996</c:v>
                </c:pt>
                <c:pt idx="28">
                  <c:v>4.7</c:v>
                </c:pt>
                <c:pt idx="29">
                  <c:v>4.8</c:v>
                </c:pt>
                <c:pt idx="30">
                  <c:v>4.9000000000000004</c:v>
                </c:pt>
                <c:pt idx="31">
                  <c:v>5</c:v>
                </c:pt>
                <c:pt idx="32">
                  <c:v>5.0999999999999996</c:v>
                </c:pt>
                <c:pt idx="33">
                  <c:v>5.2</c:v>
                </c:pt>
                <c:pt idx="34">
                  <c:v>5.3</c:v>
                </c:pt>
                <c:pt idx="35">
                  <c:v>5.4</c:v>
                </c:pt>
                <c:pt idx="36">
                  <c:v>5.5</c:v>
                </c:pt>
                <c:pt idx="37">
                  <c:v>5.6</c:v>
                </c:pt>
                <c:pt idx="38">
                  <c:v>5.7</c:v>
                </c:pt>
                <c:pt idx="39">
                  <c:v>5.8</c:v>
                </c:pt>
                <c:pt idx="40">
                  <c:v>5.9</c:v>
                </c:pt>
                <c:pt idx="41">
                  <c:v>6</c:v>
                </c:pt>
              </c:numCache>
            </c:numRef>
          </c:xVal>
          <c:yVal>
            <c:numRef>
              <c:f>Caso3!$E$4:$E$45</c:f>
              <c:numCache>
                <c:formatCode>General</c:formatCode>
                <c:ptCount val="42"/>
                <c:pt idx="0">
                  <c:v>137.65763699999999</c:v>
                </c:pt>
                <c:pt idx="1">
                  <c:v>152.91204400000001</c:v>
                </c:pt>
                <c:pt idx="2">
                  <c:v>154.53912099999999</c:v>
                </c:pt>
                <c:pt idx="3">
                  <c:v>156.160775</c:v>
                </c:pt>
                <c:pt idx="4">
                  <c:v>157.778052</c:v>
                </c:pt>
                <c:pt idx="5">
                  <c:v>159.39223200000001</c:v>
                </c:pt>
                <c:pt idx="6">
                  <c:v>161.00286299999999</c:v>
                </c:pt>
                <c:pt idx="7">
                  <c:v>162.60997599999999</c:v>
                </c:pt>
                <c:pt idx="8">
                  <c:v>164.213447</c:v>
                </c:pt>
                <c:pt idx="9">
                  <c:v>165.8134</c:v>
                </c:pt>
                <c:pt idx="10">
                  <c:v>165.92841000000001</c:v>
                </c:pt>
                <c:pt idx="11">
                  <c:v>165.95744099999999</c:v>
                </c:pt>
                <c:pt idx="12">
                  <c:v>165.99318700000001</c:v>
                </c:pt>
                <c:pt idx="13">
                  <c:v>166.03065100000001</c:v>
                </c:pt>
                <c:pt idx="14">
                  <c:v>166.068251</c:v>
                </c:pt>
                <c:pt idx="15">
                  <c:v>166.10544400000001</c:v>
                </c:pt>
                <c:pt idx="16">
                  <c:v>166.14206899999999</c:v>
                </c:pt>
                <c:pt idx="17">
                  <c:v>166.17833300000001</c:v>
                </c:pt>
                <c:pt idx="18">
                  <c:v>166.21438599999999</c:v>
                </c:pt>
                <c:pt idx="19">
                  <c:v>166.24945399999999</c:v>
                </c:pt>
                <c:pt idx="20">
                  <c:v>166.282681</c:v>
                </c:pt>
                <c:pt idx="21">
                  <c:v>166.31356299999999</c:v>
                </c:pt>
                <c:pt idx="22">
                  <c:v>166.34179499999999</c:v>
                </c:pt>
                <c:pt idx="23">
                  <c:v>166.36721199999999</c:v>
                </c:pt>
                <c:pt idx="24">
                  <c:v>166.389757</c:v>
                </c:pt>
                <c:pt idx="25">
                  <c:v>166.40947499999999</c:v>
                </c:pt>
                <c:pt idx="26">
                  <c:v>166.42649700000001</c:v>
                </c:pt>
                <c:pt idx="27">
                  <c:v>166.44101599999999</c:v>
                </c:pt>
                <c:pt idx="28">
                  <c:v>166.453272</c:v>
                </c:pt>
                <c:pt idx="29">
                  <c:v>166.46352300000001</c:v>
                </c:pt>
                <c:pt idx="30">
                  <c:v>166.47202999999999</c:v>
                </c:pt>
                <c:pt idx="31">
                  <c:v>166.47904500000001</c:v>
                </c:pt>
                <c:pt idx="32">
                  <c:v>166.48479900000001</c:v>
                </c:pt>
                <c:pt idx="33">
                  <c:v>166.489499</c:v>
                </c:pt>
                <c:pt idx="34">
                  <c:v>166.493326</c:v>
                </c:pt>
                <c:pt idx="35">
                  <c:v>166.49643399999999</c:v>
                </c:pt>
                <c:pt idx="36">
                  <c:v>166.498954</c:v>
                </c:pt>
                <c:pt idx="37">
                  <c:v>166.50099499999999</c:v>
                </c:pt>
                <c:pt idx="38">
                  <c:v>166.50264799999999</c:v>
                </c:pt>
                <c:pt idx="39">
                  <c:v>166.503985</c:v>
                </c:pt>
                <c:pt idx="40">
                  <c:v>166.50506799999999</c:v>
                </c:pt>
                <c:pt idx="41">
                  <c:v>166.505944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A5-4AE8-83BC-C89A7141D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015039"/>
        <c:axId val="2116015999"/>
      </c:scatterChart>
      <c:valAx>
        <c:axId val="2116015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15999"/>
        <c:crosses val="autoZero"/>
        <c:crossBetween val="midCat"/>
      </c:valAx>
      <c:valAx>
        <c:axId val="211601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15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recuperação H2S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Caso4!$D$4:$D$45</c:f>
              <c:numCache>
                <c:formatCode>General</c:formatCode>
                <c:ptCount val="42"/>
                <c:pt idx="0">
                  <c:v>0.5</c:v>
                </c:pt>
                <c:pt idx="1">
                  <c:v>2</c:v>
                </c:pt>
                <c:pt idx="2">
                  <c:v>2.1</c:v>
                </c:pt>
                <c:pt idx="3">
                  <c:v>2.2000000000000002</c:v>
                </c:pt>
                <c:pt idx="4">
                  <c:v>2.2999999999999998</c:v>
                </c:pt>
                <c:pt idx="5">
                  <c:v>2.4</c:v>
                </c:pt>
                <c:pt idx="6">
                  <c:v>2.5</c:v>
                </c:pt>
                <c:pt idx="7">
                  <c:v>2.6</c:v>
                </c:pt>
                <c:pt idx="8">
                  <c:v>2.7</c:v>
                </c:pt>
                <c:pt idx="9">
                  <c:v>2.8</c:v>
                </c:pt>
                <c:pt idx="10">
                  <c:v>2.9</c:v>
                </c:pt>
                <c:pt idx="11">
                  <c:v>3</c:v>
                </c:pt>
                <c:pt idx="12">
                  <c:v>3.1</c:v>
                </c:pt>
                <c:pt idx="13">
                  <c:v>3.2</c:v>
                </c:pt>
                <c:pt idx="14">
                  <c:v>3.3</c:v>
                </c:pt>
                <c:pt idx="15">
                  <c:v>3.4</c:v>
                </c:pt>
                <c:pt idx="16">
                  <c:v>3.5</c:v>
                </c:pt>
                <c:pt idx="17">
                  <c:v>3.6</c:v>
                </c:pt>
                <c:pt idx="18">
                  <c:v>3.7</c:v>
                </c:pt>
                <c:pt idx="19">
                  <c:v>3.8</c:v>
                </c:pt>
                <c:pt idx="20">
                  <c:v>3.9</c:v>
                </c:pt>
                <c:pt idx="21">
                  <c:v>4</c:v>
                </c:pt>
                <c:pt idx="22">
                  <c:v>4.0999999999999996</c:v>
                </c:pt>
                <c:pt idx="23">
                  <c:v>4.2</c:v>
                </c:pt>
                <c:pt idx="24">
                  <c:v>4.3</c:v>
                </c:pt>
                <c:pt idx="25">
                  <c:v>4.4000000000000004</c:v>
                </c:pt>
                <c:pt idx="26">
                  <c:v>4.5</c:v>
                </c:pt>
                <c:pt idx="27">
                  <c:v>4.5999999999999996</c:v>
                </c:pt>
                <c:pt idx="28">
                  <c:v>4.7</c:v>
                </c:pt>
                <c:pt idx="29">
                  <c:v>4.8</c:v>
                </c:pt>
                <c:pt idx="30">
                  <c:v>4.9000000000000004</c:v>
                </c:pt>
                <c:pt idx="31">
                  <c:v>5</c:v>
                </c:pt>
                <c:pt idx="32">
                  <c:v>5.0999999999999996</c:v>
                </c:pt>
                <c:pt idx="33">
                  <c:v>5.2</c:v>
                </c:pt>
                <c:pt idx="34">
                  <c:v>5.3</c:v>
                </c:pt>
                <c:pt idx="35">
                  <c:v>5.4</c:v>
                </c:pt>
                <c:pt idx="36">
                  <c:v>5.5</c:v>
                </c:pt>
                <c:pt idx="37">
                  <c:v>5.6</c:v>
                </c:pt>
                <c:pt idx="38">
                  <c:v>5.7</c:v>
                </c:pt>
                <c:pt idx="39">
                  <c:v>5.8</c:v>
                </c:pt>
                <c:pt idx="40">
                  <c:v>5.9</c:v>
                </c:pt>
                <c:pt idx="41">
                  <c:v>6</c:v>
                </c:pt>
              </c:numCache>
            </c:numRef>
          </c:xVal>
          <c:yVal>
            <c:numRef>
              <c:f>Caso4!$S$4:$S$45</c:f>
              <c:numCache>
                <c:formatCode>0.00</c:formatCode>
                <c:ptCount val="42"/>
                <c:pt idx="0">
                  <c:v>8.9814568380952397E-15</c:v>
                </c:pt>
                <c:pt idx="1">
                  <c:v>41.893311619047623</c:v>
                </c:pt>
                <c:pt idx="2">
                  <c:v>53.482460266666656</c:v>
                </c:pt>
                <c:pt idx="3">
                  <c:v>65.525917942857134</c:v>
                </c:pt>
                <c:pt idx="4">
                  <c:v>78.032419809523816</c:v>
                </c:pt>
                <c:pt idx="5">
                  <c:v>91.010948571428571</c:v>
                </c:pt>
                <c:pt idx="6">
                  <c:v>100.00000076190476</c:v>
                </c:pt>
                <c:pt idx="7">
                  <c:v>99.999993142857136</c:v>
                </c:pt>
                <c:pt idx="8">
                  <c:v>99.999993904761894</c:v>
                </c:pt>
                <c:pt idx="9">
                  <c:v>99.999997714285712</c:v>
                </c:pt>
                <c:pt idx="10">
                  <c:v>99.999964190476192</c:v>
                </c:pt>
                <c:pt idx="11">
                  <c:v>99.99999009523809</c:v>
                </c:pt>
                <c:pt idx="12">
                  <c:v>99.99999009523809</c:v>
                </c:pt>
                <c:pt idx="13">
                  <c:v>99.999990857142848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99.999997714285712</c:v>
                </c:pt>
                <c:pt idx="20">
                  <c:v>99.999999238095242</c:v>
                </c:pt>
                <c:pt idx="21">
                  <c:v>99.999999238095242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6B-4585-98F9-B3D4D508F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60831"/>
        <c:axId val="627070911"/>
      </c:scatterChart>
      <c:valAx>
        <c:axId val="62706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70911"/>
        <c:crosses val="autoZero"/>
        <c:crossBetween val="midCat"/>
      </c:valAx>
      <c:valAx>
        <c:axId val="627070911"/>
        <c:scaling>
          <c:orientation val="minMax"/>
          <c:max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60831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perda NH3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Caso4!$D$4:$D$45</c:f>
              <c:numCache>
                <c:formatCode>General</c:formatCode>
                <c:ptCount val="42"/>
                <c:pt idx="0">
                  <c:v>0.5</c:v>
                </c:pt>
                <c:pt idx="1">
                  <c:v>2</c:v>
                </c:pt>
                <c:pt idx="2">
                  <c:v>2.1</c:v>
                </c:pt>
                <c:pt idx="3">
                  <c:v>2.2000000000000002</c:v>
                </c:pt>
                <c:pt idx="4">
                  <c:v>2.2999999999999998</c:v>
                </c:pt>
                <c:pt idx="5">
                  <c:v>2.4</c:v>
                </c:pt>
                <c:pt idx="6">
                  <c:v>2.5</c:v>
                </c:pt>
                <c:pt idx="7">
                  <c:v>2.6</c:v>
                </c:pt>
                <c:pt idx="8">
                  <c:v>2.7</c:v>
                </c:pt>
                <c:pt idx="9">
                  <c:v>2.8</c:v>
                </c:pt>
                <c:pt idx="10">
                  <c:v>2.9</c:v>
                </c:pt>
                <c:pt idx="11">
                  <c:v>3</c:v>
                </c:pt>
                <c:pt idx="12">
                  <c:v>3.1</c:v>
                </c:pt>
                <c:pt idx="13">
                  <c:v>3.2</c:v>
                </c:pt>
                <c:pt idx="14">
                  <c:v>3.3</c:v>
                </c:pt>
                <c:pt idx="15">
                  <c:v>3.4</c:v>
                </c:pt>
                <c:pt idx="16">
                  <c:v>3.5</c:v>
                </c:pt>
                <c:pt idx="17">
                  <c:v>3.6</c:v>
                </c:pt>
                <c:pt idx="18">
                  <c:v>3.7</c:v>
                </c:pt>
                <c:pt idx="19">
                  <c:v>3.8</c:v>
                </c:pt>
                <c:pt idx="20">
                  <c:v>3.9</c:v>
                </c:pt>
                <c:pt idx="21">
                  <c:v>4</c:v>
                </c:pt>
                <c:pt idx="22">
                  <c:v>4.0999999999999996</c:v>
                </c:pt>
                <c:pt idx="23">
                  <c:v>4.2</c:v>
                </c:pt>
                <c:pt idx="24">
                  <c:v>4.3</c:v>
                </c:pt>
                <c:pt idx="25">
                  <c:v>4.4000000000000004</c:v>
                </c:pt>
                <c:pt idx="26">
                  <c:v>4.5</c:v>
                </c:pt>
                <c:pt idx="27">
                  <c:v>4.5999999999999996</c:v>
                </c:pt>
                <c:pt idx="28">
                  <c:v>4.7</c:v>
                </c:pt>
                <c:pt idx="29">
                  <c:v>4.8</c:v>
                </c:pt>
                <c:pt idx="30">
                  <c:v>4.9000000000000004</c:v>
                </c:pt>
                <c:pt idx="31">
                  <c:v>5</c:v>
                </c:pt>
                <c:pt idx="32">
                  <c:v>5.0999999999999996</c:v>
                </c:pt>
                <c:pt idx="33">
                  <c:v>5.2</c:v>
                </c:pt>
                <c:pt idx="34">
                  <c:v>5.3</c:v>
                </c:pt>
                <c:pt idx="35">
                  <c:v>5.4</c:v>
                </c:pt>
                <c:pt idx="36">
                  <c:v>5.5</c:v>
                </c:pt>
                <c:pt idx="37">
                  <c:v>5.6</c:v>
                </c:pt>
                <c:pt idx="38">
                  <c:v>5.7</c:v>
                </c:pt>
                <c:pt idx="39">
                  <c:v>5.8</c:v>
                </c:pt>
                <c:pt idx="40">
                  <c:v>5.9</c:v>
                </c:pt>
                <c:pt idx="41">
                  <c:v>6</c:v>
                </c:pt>
              </c:numCache>
            </c:numRef>
          </c:xVal>
          <c:yVal>
            <c:numRef>
              <c:f>Caso4!$T$4:$T$45</c:f>
              <c:numCache>
                <c:formatCode>0.00</c:formatCode>
                <c:ptCount val="42"/>
                <c:pt idx="0">
                  <c:v>47.293523911111116</c:v>
                </c:pt>
                <c:pt idx="1">
                  <c:v>8.1845891466666662E-4</c:v>
                </c:pt>
                <c:pt idx="2">
                  <c:v>1.0862645600000001E-3</c:v>
                </c:pt>
                <c:pt idx="3">
                  <c:v>1.3922415644444445E-3</c:v>
                </c:pt>
                <c:pt idx="4">
                  <c:v>1.7463269777777781E-3</c:v>
                </c:pt>
                <c:pt idx="5">
                  <c:v>2.1612076533333332E-3</c:v>
                </c:pt>
                <c:pt idx="6">
                  <c:v>0.30623612177777781</c:v>
                </c:pt>
                <c:pt idx="7">
                  <c:v>3.1065186044444442</c:v>
                </c:pt>
                <c:pt idx="8">
                  <c:v>7.7074001688888893</c:v>
                </c:pt>
                <c:pt idx="9">
                  <c:v>12.89937431111111</c:v>
                </c:pt>
                <c:pt idx="10">
                  <c:v>18.252847555555554</c:v>
                </c:pt>
                <c:pt idx="11">
                  <c:v>23.6404912</c:v>
                </c:pt>
                <c:pt idx="12">
                  <c:v>29.027751555555557</c:v>
                </c:pt>
                <c:pt idx="13">
                  <c:v>34.438032266666667</c:v>
                </c:pt>
                <c:pt idx="14">
                  <c:v>39.965215733333331</c:v>
                </c:pt>
                <c:pt idx="15">
                  <c:v>45.594333688888888</c:v>
                </c:pt>
                <c:pt idx="16">
                  <c:v>51.15510782222222</c:v>
                </c:pt>
                <c:pt idx="17">
                  <c:v>56.530858577777778</c:v>
                </c:pt>
                <c:pt idx="18">
                  <c:v>61.652811555555559</c:v>
                </c:pt>
                <c:pt idx="19">
                  <c:v>66.469936711111103</c:v>
                </c:pt>
                <c:pt idx="20">
                  <c:v>70.94156186666666</c:v>
                </c:pt>
                <c:pt idx="21">
                  <c:v>75.037030488888902</c:v>
                </c:pt>
                <c:pt idx="22">
                  <c:v>78.736911822222226</c:v>
                </c:pt>
                <c:pt idx="23">
                  <c:v>82.033949511111103</c:v>
                </c:pt>
                <c:pt idx="24">
                  <c:v>84.933001155555559</c:v>
                </c:pt>
                <c:pt idx="25">
                  <c:v>87.449868355555566</c:v>
                </c:pt>
                <c:pt idx="26">
                  <c:v>89.609224888888889</c:v>
                </c:pt>
                <c:pt idx="27">
                  <c:v>91.44203111111112</c:v>
                </c:pt>
                <c:pt idx="28">
                  <c:v>92.98285688888889</c:v>
                </c:pt>
                <c:pt idx="29">
                  <c:v>94.267461333333344</c:v>
                </c:pt>
                <c:pt idx="30">
                  <c:v>95.330849777777786</c:v>
                </c:pt>
                <c:pt idx="31">
                  <c:v>96.205878222222225</c:v>
                </c:pt>
                <c:pt idx="32">
                  <c:v>96.922390222222219</c:v>
                </c:pt>
                <c:pt idx="33">
                  <c:v>97.506795555555556</c:v>
                </c:pt>
                <c:pt idx="34">
                  <c:v>97.981984888888888</c:v>
                </c:pt>
                <c:pt idx="35">
                  <c:v>98.367469333333332</c:v>
                </c:pt>
                <c:pt idx="36">
                  <c:v>98.679656888888886</c:v>
                </c:pt>
                <c:pt idx="37">
                  <c:v>98.932198222222212</c:v>
                </c:pt>
                <c:pt idx="38">
                  <c:v>99.136358222222228</c:v>
                </c:pt>
                <c:pt idx="39">
                  <c:v>99.301363555555554</c:v>
                </c:pt>
                <c:pt idx="40">
                  <c:v>99.43473511111111</c:v>
                </c:pt>
                <c:pt idx="41">
                  <c:v>99.542578666666671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CD-438C-82A6-3BE64001E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31071"/>
        <c:axId val="627048351"/>
      </c:scatterChart>
      <c:valAx>
        <c:axId val="627031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48351"/>
        <c:crosses val="autoZero"/>
        <c:crossBetween val="midCat"/>
      </c:valAx>
      <c:valAx>
        <c:axId val="627048351"/>
        <c:scaling>
          <c:orientation val="minMax"/>
          <c:max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31071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T topo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Caso4!$D$4:$D$45</c:f>
              <c:numCache>
                <c:formatCode>General</c:formatCode>
                <c:ptCount val="42"/>
                <c:pt idx="0">
                  <c:v>0.5</c:v>
                </c:pt>
                <c:pt idx="1">
                  <c:v>2</c:v>
                </c:pt>
                <c:pt idx="2">
                  <c:v>2.1</c:v>
                </c:pt>
                <c:pt idx="3">
                  <c:v>2.2000000000000002</c:v>
                </c:pt>
                <c:pt idx="4">
                  <c:v>2.2999999999999998</c:v>
                </c:pt>
                <c:pt idx="5">
                  <c:v>2.4</c:v>
                </c:pt>
                <c:pt idx="6">
                  <c:v>2.5</c:v>
                </c:pt>
                <c:pt idx="7">
                  <c:v>2.6</c:v>
                </c:pt>
                <c:pt idx="8">
                  <c:v>2.7</c:v>
                </c:pt>
                <c:pt idx="9">
                  <c:v>2.8</c:v>
                </c:pt>
                <c:pt idx="10">
                  <c:v>2.9</c:v>
                </c:pt>
                <c:pt idx="11">
                  <c:v>3</c:v>
                </c:pt>
                <c:pt idx="12">
                  <c:v>3.1</c:v>
                </c:pt>
                <c:pt idx="13">
                  <c:v>3.2</c:v>
                </c:pt>
                <c:pt idx="14">
                  <c:v>3.3</c:v>
                </c:pt>
                <c:pt idx="15">
                  <c:v>3.4</c:v>
                </c:pt>
                <c:pt idx="16">
                  <c:v>3.5</c:v>
                </c:pt>
                <c:pt idx="17">
                  <c:v>3.6</c:v>
                </c:pt>
                <c:pt idx="18">
                  <c:v>3.7</c:v>
                </c:pt>
                <c:pt idx="19">
                  <c:v>3.8</c:v>
                </c:pt>
                <c:pt idx="20">
                  <c:v>3.9</c:v>
                </c:pt>
                <c:pt idx="21">
                  <c:v>4</c:v>
                </c:pt>
                <c:pt idx="22">
                  <c:v>4.0999999999999996</c:v>
                </c:pt>
                <c:pt idx="23">
                  <c:v>4.2</c:v>
                </c:pt>
                <c:pt idx="24">
                  <c:v>4.3</c:v>
                </c:pt>
                <c:pt idx="25">
                  <c:v>4.4000000000000004</c:v>
                </c:pt>
                <c:pt idx="26">
                  <c:v>4.5</c:v>
                </c:pt>
                <c:pt idx="27">
                  <c:v>4.5999999999999996</c:v>
                </c:pt>
                <c:pt idx="28">
                  <c:v>4.7</c:v>
                </c:pt>
                <c:pt idx="29">
                  <c:v>4.8</c:v>
                </c:pt>
                <c:pt idx="30">
                  <c:v>4.9000000000000004</c:v>
                </c:pt>
                <c:pt idx="31">
                  <c:v>5</c:v>
                </c:pt>
                <c:pt idx="32">
                  <c:v>5.0999999999999996</c:v>
                </c:pt>
                <c:pt idx="33">
                  <c:v>5.2</c:v>
                </c:pt>
                <c:pt idx="34">
                  <c:v>5.3</c:v>
                </c:pt>
                <c:pt idx="35">
                  <c:v>5.4</c:v>
                </c:pt>
                <c:pt idx="36">
                  <c:v>5.5</c:v>
                </c:pt>
                <c:pt idx="37">
                  <c:v>5.6</c:v>
                </c:pt>
                <c:pt idx="38">
                  <c:v>5.7</c:v>
                </c:pt>
                <c:pt idx="39">
                  <c:v>5.8</c:v>
                </c:pt>
                <c:pt idx="40">
                  <c:v>5.9</c:v>
                </c:pt>
                <c:pt idx="41">
                  <c:v>6</c:v>
                </c:pt>
              </c:numCache>
            </c:numRef>
          </c:xVal>
          <c:yVal>
            <c:numRef>
              <c:f>Caso4!$F$4:$F$45</c:f>
              <c:numCache>
                <c:formatCode>General</c:formatCode>
                <c:ptCount val="42"/>
                <c:pt idx="0">
                  <c:v>263.39872200000002</c:v>
                </c:pt>
                <c:pt idx="1">
                  <c:v>60.1701014</c:v>
                </c:pt>
                <c:pt idx="2">
                  <c:v>60.221606199999997</c:v>
                </c:pt>
                <c:pt idx="3">
                  <c:v>60.2730113</c:v>
                </c:pt>
                <c:pt idx="4">
                  <c:v>60.326960499999998</c:v>
                </c:pt>
                <c:pt idx="5">
                  <c:v>60.384111300000001</c:v>
                </c:pt>
                <c:pt idx="6">
                  <c:v>60.853878000000002</c:v>
                </c:pt>
                <c:pt idx="7">
                  <c:v>61.726710300000001</c:v>
                </c:pt>
                <c:pt idx="8">
                  <c:v>63.081242199999998</c:v>
                </c:pt>
                <c:pt idx="9">
                  <c:v>65.907590499999998</c:v>
                </c:pt>
                <c:pt idx="10">
                  <c:v>71.670741300000003</c:v>
                </c:pt>
                <c:pt idx="11">
                  <c:v>82.244286500000001</c:v>
                </c:pt>
                <c:pt idx="12">
                  <c:v>98.325247899999994</c:v>
                </c:pt>
                <c:pt idx="13">
                  <c:v>118.70204</c:v>
                </c:pt>
                <c:pt idx="14">
                  <c:v>137.506542</c:v>
                </c:pt>
                <c:pt idx="15">
                  <c:v>148.16742300000001</c:v>
                </c:pt>
                <c:pt idx="16">
                  <c:v>153.29718299999999</c:v>
                </c:pt>
                <c:pt idx="17">
                  <c:v>156.05382</c:v>
                </c:pt>
                <c:pt idx="18">
                  <c:v>157.73450299999999</c:v>
                </c:pt>
                <c:pt idx="19">
                  <c:v>158.861031</c:v>
                </c:pt>
                <c:pt idx="20">
                  <c:v>159.670423</c:v>
                </c:pt>
                <c:pt idx="21">
                  <c:v>160.283186</c:v>
                </c:pt>
                <c:pt idx="22">
                  <c:v>160.76619500000001</c:v>
                </c:pt>
                <c:pt idx="23">
                  <c:v>161.15916999999999</c:v>
                </c:pt>
                <c:pt idx="24">
                  <c:v>161.48697899999999</c:v>
                </c:pt>
                <c:pt idx="25">
                  <c:v>161.765874</c:v>
                </c:pt>
                <c:pt idx="26">
                  <c:v>162.00687300000001</c:v>
                </c:pt>
                <c:pt idx="27">
                  <c:v>162.217691</c:v>
                </c:pt>
                <c:pt idx="28">
                  <c:v>162.40390600000001</c:v>
                </c:pt>
                <c:pt idx="29">
                  <c:v>162.56966800000001</c:v>
                </c:pt>
                <c:pt idx="30">
                  <c:v>162.718154</c:v>
                </c:pt>
                <c:pt idx="31">
                  <c:v>162.85185999999999</c:v>
                </c:pt>
                <c:pt idx="32">
                  <c:v>162.972792</c:v>
                </c:pt>
                <c:pt idx="33">
                  <c:v>163.082594</c:v>
                </c:pt>
                <c:pt idx="34">
                  <c:v>163.182637</c:v>
                </c:pt>
                <c:pt idx="35">
                  <c:v>163.27407700000001</c:v>
                </c:pt>
                <c:pt idx="36">
                  <c:v>163.357899</c:v>
                </c:pt>
                <c:pt idx="37">
                  <c:v>163.43494999999999</c:v>
                </c:pt>
                <c:pt idx="38">
                  <c:v>163.50596200000001</c:v>
                </c:pt>
                <c:pt idx="39">
                  <c:v>163.571573</c:v>
                </c:pt>
                <c:pt idx="40">
                  <c:v>163.63233700000001</c:v>
                </c:pt>
                <c:pt idx="41">
                  <c:v>163.68874099999999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FC-43F6-9939-6C3EF0251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1303039"/>
        <c:axId val="1651314559"/>
      </c:scatterChart>
      <c:valAx>
        <c:axId val="1651303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14559"/>
        <c:crosses val="autoZero"/>
        <c:crossBetween val="midCat"/>
      </c:valAx>
      <c:valAx>
        <c:axId val="165131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0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T fundo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Caso4!$D$4:$D$45</c:f>
              <c:numCache>
                <c:formatCode>General</c:formatCode>
                <c:ptCount val="42"/>
                <c:pt idx="0">
                  <c:v>0.5</c:v>
                </c:pt>
                <c:pt idx="1">
                  <c:v>2</c:v>
                </c:pt>
                <c:pt idx="2">
                  <c:v>2.1</c:v>
                </c:pt>
                <c:pt idx="3">
                  <c:v>2.2000000000000002</c:v>
                </c:pt>
                <c:pt idx="4">
                  <c:v>2.2999999999999998</c:v>
                </c:pt>
                <c:pt idx="5">
                  <c:v>2.4</c:v>
                </c:pt>
                <c:pt idx="6">
                  <c:v>2.5</c:v>
                </c:pt>
                <c:pt idx="7">
                  <c:v>2.6</c:v>
                </c:pt>
                <c:pt idx="8">
                  <c:v>2.7</c:v>
                </c:pt>
                <c:pt idx="9">
                  <c:v>2.8</c:v>
                </c:pt>
                <c:pt idx="10">
                  <c:v>2.9</c:v>
                </c:pt>
                <c:pt idx="11">
                  <c:v>3</c:v>
                </c:pt>
                <c:pt idx="12">
                  <c:v>3.1</c:v>
                </c:pt>
                <c:pt idx="13">
                  <c:v>3.2</c:v>
                </c:pt>
                <c:pt idx="14">
                  <c:v>3.3</c:v>
                </c:pt>
                <c:pt idx="15">
                  <c:v>3.4</c:v>
                </c:pt>
                <c:pt idx="16">
                  <c:v>3.5</c:v>
                </c:pt>
                <c:pt idx="17">
                  <c:v>3.6</c:v>
                </c:pt>
                <c:pt idx="18">
                  <c:v>3.7</c:v>
                </c:pt>
                <c:pt idx="19">
                  <c:v>3.8</c:v>
                </c:pt>
                <c:pt idx="20">
                  <c:v>3.9</c:v>
                </c:pt>
                <c:pt idx="21">
                  <c:v>4</c:v>
                </c:pt>
                <c:pt idx="22">
                  <c:v>4.0999999999999996</c:v>
                </c:pt>
                <c:pt idx="23">
                  <c:v>4.2</c:v>
                </c:pt>
                <c:pt idx="24">
                  <c:v>4.3</c:v>
                </c:pt>
                <c:pt idx="25">
                  <c:v>4.4000000000000004</c:v>
                </c:pt>
                <c:pt idx="26">
                  <c:v>4.5</c:v>
                </c:pt>
                <c:pt idx="27">
                  <c:v>4.5999999999999996</c:v>
                </c:pt>
                <c:pt idx="28">
                  <c:v>4.7</c:v>
                </c:pt>
                <c:pt idx="29">
                  <c:v>4.8</c:v>
                </c:pt>
                <c:pt idx="30">
                  <c:v>4.9000000000000004</c:v>
                </c:pt>
                <c:pt idx="31">
                  <c:v>5</c:v>
                </c:pt>
                <c:pt idx="32">
                  <c:v>5.0999999999999996</c:v>
                </c:pt>
                <c:pt idx="33">
                  <c:v>5.2</c:v>
                </c:pt>
                <c:pt idx="34">
                  <c:v>5.3</c:v>
                </c:pt>
                <c:pt idx="35">
                  <c:v>5.4</c:v>
                </c:pt>
                <c:pt idx="36">
                  <c:v>5.5</c:v>
                </c:pt>
                <c:pt idx="37">
                  <c:v>5.6</c:v>
                </c:pt>
                <c:pt idx="38">
                  <c:v>5.7</c:v>
                </c:pt>
                <c:pt idx="39">
                  <c:v>5.8</c:v>
                </c:pt>
                <c:pt idx="40">
                  <c:v>5.9</c:v>
                </c:pt>
                <c:pt idx="41">
                  <c:v>6</c:v>
                </c:pt>
              </c:numCache>
            </c:numRef>
          </c:xVal>
          <c:yVal>
            <c:numRef>
              <c:f>Caso4!$E$4:$E$45</c:f>
              <c:numCache>
                <c:formatCode>General</c:formatCode>
                <c:ptCount val="42"/>
                <c:pt idx="0">
                  <c:v>140.870113</c:v>
                </c:pt>
                <c:pt idx="1">
                  <c:v>158.41283999999999</c:v>
                </c:pt>
                <c:pt idx="2">
                  <c:v>160.025552</c:v>
                </c:pt>
                <c:pt idx="3">
                  <c:v>161.63480300000001</c:v>
                </c:pt>
                <c:pt idx="4">
                  <c:v>163.24030099999999</c:v>
                </c:pt>
                <c:pt idx="5">
                  <c:v>164.84225599999999</c:v>
                </c:pt>
                <c:pt idx="6">
                  <c:v>165.91824</c:v>
                </c:pt>
                <c:pt idx="7">
                  <c:v>165.93483599999999</c:v>
                </c:pt>
                <c:pt idx="8">
                  <c:v>165.96212600000001</c:v>
                </c:pt>
                <c:pt idx="9">
                  <c:v>165.99292</c:v>
                </c:pt>
                <c:pt idx="10">
                  <c:v>166.02466000000001</c:v>
                </c:pt>
                <c:pt idx="11">
                  <c:v>166.05658</c:v>
                </c:pt>
                <c:pt idx="12">
                  <c:v>166.088446</c:v>
                </c:pt>
                <c:pt idx="13">
                  <c:v>166.120317</c:v>
                </c:pt>
                <c:pt idx="14">
                  <c:v>166.15258900000001</c:v>
                </c:pt>
                <c:pt idx="15">
                  <c:v>166.185227</c:v>
                </c:pt>
                <c:pt idx="16">
                  <c:v>166.217478</c:v>
                </c:pt>
                <c:pt idx="17">
                  <c:v>166.24876900000001</c:v>
                </c:pt>
                <c:pt idx="18">
                  <c:v>166.27871999999999</c:v>
                </c:pt>
                <c:pt idx="19">
                  <c:v>166.30702700000001</c:v>
                </c:pt>
                <c:pt idx="20">
                  <c:v>166.33343199999999</c:v>
                </c:pt>
                <c:pt idx="21">
                  <c:v>166.357731</c:v>
                </c:pt>
                <c:pt idx="22">
                  <c:v>166.37978699999999</c:v>
                </c:pt>
                <c:pt idx="23">
                  <c:v>166.39953199999999</c:v>
                </c:pt>
                <c:pt idx="24">
                  <c:v>166.41696999999999</c:v>
                </c:pt>
                <c:pt idx="25">
                  <c:v>166.432176</c:v>
                </c:pt>
                <c:pt idx="26">
                  <c:v>166.445277</c:v>
                </c:pt>
                <c:pt idx="27">
                  <c:v>166.456444</c:v>
                </c:pt>
                <c:pt idx="28">
                  <c:v>166.46587099999999</c:v>
                </c:pt>
                <c:pt idx="29">
                  <c:v>166.47376199999999</c:v>
                </c:pt>
                <c:pt idx="30">
                  <c:v>166.480321</c:v>
                </c:pt>
                <c:pt idx="31">
                  <c:v>166.485739</c:v>
                </c:pt>
                <c:pt idx="32">
                  <c:v>166.490194</c:v>
                </c:pt>
                <c:pt idx="33">
                  <c:v>166.493841</c:v>
                </c:pt>
                <c:pt idx="34">
                  <c:v>166.49681899999999</c:v>
                </c:pt>
                <c:pt idx="35">
                  <c:v>166.499244</c:v>
                </c:pt>
                <c:pt idx="36">
                  <c:v>166.501215</c:v>
                </c:pt>
                <c:pt idx="37">
                  <c:v>166.502816</c:v>
                </c:pt>
                <c:pt idx="38">
                  <c:v>166.50411500000001</c:v>
                </c:pt>
                <c:pt idx="39">
                  <c:v>166.505169</c:v>
                </c:pt>
                <c:pt idx="40">
                  <c:v>166.50602499999999</c:v>
                </c:pt>
                <c:pt idx="41">
                  <c:v>166.506719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98-4003-ACE9-13E6DF721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015039"/>
        <c:axId val="2116015999"/>
      </c:scatterChart>
      <c:valAx>
        <c:axId val="2116015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15999"/>
        <c:crosses val="autoZero"/>
        <c:crossBetween val="midCat"/>
      </c:valAx>
      <c:valAx>
        <c:axId val="211601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15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recuperação H2S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Caso5!$D$4:$D$45</c:f>
              <c:numCache>
                <c:formatCode>General</c:formatCode>
                <c:ptCount val="42"/>
                <c:pt idx="0">
                  <c:v>0.5</c:v>
                </c:pt>
                <c:pt idx="1">
                  <c:v>2</c:v>
                </c:pt>
                <c:pt idx="2">
                  <c:v>2.1</c:v>
                </c:pt>
                <c:pt idx="3">
                  <c:v>2.2000000000000002</c:v>
                </c:pt>
                <c:pt idx="4">
                  <c:v>2.2999999999999998</c:v>
                </c:pt>
                <c:pt idx="5">
                  <c:v>2.4</c:v>
                </c:pt>
                <c:pt idx="6">
                  <c:v>2.5</c:v>
                </c:pt>
                <c:pt idx="7">
                  <c:v>2.6</c:v>
                </c:pt>
                <c:pt idx="8">
                  <c:v>2.7</c:v>
                </c:pt>
                <c:pt idx="9">
                  <c:v>2.8</c:v>
                </c:pt>
                <c:pt idx="10">
                  <c:v>2.9</c:v>
                </c:pt>
                <c:pt idx="11">
                  <c:v>3</c:v>
                </c:pt>
                <c:pt idx="12">
                  <c:v>3.1</c:v>
                </c:pt>
                <c:pt idx="13">
                  <c:v>3.2</c:v>
                </c:pt>
                <c:pt idx="14">
                  <c:v>3.3</c:v>
                </c:pt>
                <c:pt idx="15">
                  <c:v>3.4</c:v>
                </c:pt>
                <c:pt idx="16">
                  <c:v>3.5</c:v>
                </c:pt>
                <c:pt idx="17">
                  <c:v>3.6</c:v>
                </c:pt>
                <c:pt idx="18">
                  <c:v>3.7</c:v>
                </c:pt>
                <c:pt idx="19">
                  <c:v>3.8</c:v>
                </c:pt>
                <c:pt idx="20">
                  <c:v>3.9</c:v>
                </c:pt>
                <c:pt idx="21">
                  <c:v>4</c:v>
                </c:pt>
                <c:pt idx="22">
                  <c:v>4.0999999999999996</c:v>
                </c:pt>
                <c:pt idx="23">
                  <c:v>4.2</c:v>
                </c:pt>
                <c:pt idx="24">
                  <c:v>4.3</c:v>
                </c:pt>
                <c:pt idx="25">
                  <c:v>4.4000000000000004</c:v>
                </c:pt>
                <c:pt idx="26">
                  <c:v>4.5</c:v>
                </c:pt>
                <c:pt idx="27">
                  <c:v>4.5999999999999996</c:v>
                </c:pt>
                <c:pt idx="28">
                  <c:v>4.7</c:v>
                </c:pt>
                <c:pt idx="29">
                  <c:v>4.8</c:v>
                </c:pt>
                <c:pt idx="30">
                  <c:v>4.9000000000000004</c:v>
                </c:pt>
                <c:pt idx="31">
                  <c:v>5</c:v>
                </c:pt>
                <c:pt idx="32">
                  <c:v>5.0999999999999996</c:v>
                </c:pt>
                <c:pt idx="33">
                  <c:v>5.2</c:v>
                </c:pt>
                <c:pt idx="34">
                  <c:v>5.3</c:v>
                </c:pt>
                <c:pt idx="35">
                  <c:v>5.4</c:v>
                </c:pt>
                <c:pt idx="36">
                  <c:v>5.5</c:v>
                </c:pt>
                <c:pt idx="37">
                  <c:v>5.6</c:v>
                </c:pt>
                <c:pt idx="38">
                  <c:v>5.7</c:v>
                </c:pt>
                <c:pt idx="39">
                  <c:v>5.8</c:v>
                </c:pt>
                <c:pt idx="40">
                  <c:v>5.9</c:v>
                </c:pt>
                <c:pt idx="41">
                  <c:v>6</c:v>
                </c:pt>
              </c:numCache>
            </c:numRef>
          </c:xVal>
          <c:yVal>
            <c:numRef>
              <c:f>Caso5!$S$4:$S$45</c:f>
              <c:numCache>
                <c:formatCode>0.00</c:formatCode>
                <c:ptCount val="42"/>
                <c:pt idx="0">
                  <c:v>1.0946175794285715</c:v>
                </c:pt>
                <c:pt idx="1">
                  <c:v>1585.3591451428572</c:v>
                </c:pt>
                <c:pt idx="2">
                  <c:v>6.9619197942857152E-22</c:v>
                </c:pt>
                <c:pt idx="3">
                  <c:v>8.1137846628571424E-26</c:v>
                </c:pt>
                <c:pt idx="4">
                  <c:v>1.8909977988571429</c:v>
                </c:pt>
                <c:pt idx="5">
                  <c:v>1.4495224845714285</c:v>
                </c:pt>
                <c:pt idx="6">
                  <c:v>39.159523885714286</c:v>
                </c:pt>
                <c:pt idx="7">
                  <c:v>78.28880822857144</c:v>
                </c:pt>
                <c:pt idx="8">
                  <c:v>100.00000114285713</c:v>
                </c:pt>
                <c:pt idx="9">
                  <c:v>100.00000045714286</c:v>
                </c:pt>
                <c:pt idx="10">
                  <c:v>99.999984228571435</c:v>
                </c:pt>
                <c:pt idx="11">
                  <c:v>99.999936228571443</c:v>
                </c:pt>
                <c:pt idx="12">
                  <c:v>100</c:v>
                </c:pt>
                <c:pt idx="13">
                  <c:v>99.999972571428572</c:v>
                </c:pt>
                <c:pt idx="14">
                  <c:v>99.99997531428572</c:v>
                </c:pt>
                <c:pt idx="15">
                  <c:v>99.999994971428578</c:v>
                </c:pt>
                <c:pt idx="16">
                  <c:v>99.999991542857146</c:v>
                </c:pt>
                <c:pt idx="17">
                  <c:v>100</c:v>
                </c:pt>
                <c:pt idx="18">
                  <c:v>99.999993828571419</c:v>
                </c:pt>
                <c:pt idx="19">
                  <c:v>99.999999314285716</c:v>
                </c:pt>
                <c:pt idx="20">
                  <c:v>99.999999771428577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99.999898742857141</c:v>
                </c:pt>
                <c:pt idx="39">
                  <c:v>99.999914285714283</c:v>
                </c:pt>
                <c:pt idx="40">
                  <c:v>99.99992662857143</c:v>
                </c:pt>
                <c:pt idx="41">
                  <c:v>99.999936685714289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B2-40ED-AD4A-098CD7893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60831"/>
        <c:axId val="627070911"/>
      </c:scatterChart>
      <c:valAx>
        <c:axId val="62706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70911"/>
        <c:crosses val="autoZero"/>
        <c:crossBetween val="midCat"/>
      </c:valAx>
      <c:valAx>
        <c:axId val="627070911"/>
        <c:scaling>
          <c:orientation val="minMax"/>
          <c:max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60831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perda NH3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Caso5!$D$4:$D$45</c:f>
              <c:numCache>
                <c:formatCode>General</c:formatCode>
                <c:ptCount val="42"/>
                <c:pt idx="0">
                  <c:v>0.5</c:v>
                </c:pt>
                <c:pt idx="1">
                  <c:v>2</c:v>
                </c:pt>
                <c:pt idx="2">
                  <c:v>2.1</c:v>
                </c:pt>
                <c:pt idx="3">
                  <c:v>2.2000000000000002</c:v>
                </c:pt>
                <c:pt idx="4">
                  <c:v>2.2999999999999998</c:v>
                </c:pt>
                <c:pt idx="5">
                  <c:v>2.4</c:v>
                </c:pt>
                <c:pt idx="6">
                  <c:v>2.5</c:v>
                </c:pt>
                <c:pt idx="7">
                  <c:v>2.6</c:v>
                </c:pt>
                <c:pt idx="8">
                  <c:v>2.7</c:v>
                </c:pt>
                <c:pt idx="9">
                  <c:v>2.8</c:v>
                </c:pt>
                <c:pt idx="10">
                  <c:v>2.9</c:v>
                </c:pt>
                <c:pt idx="11">
                  <c:v>3</c:v>
                </c:pt>
                <c:pt idx="12">
                  <c:v>3.1</c:v>
                </c:pt>
                <c:pt idx="13">
                  <c:v>3.2</c:v>
                </c:pt>
                <c:pt idx="14">
                  <c:v>3.3</c:v>
                </c:pt>
                <c:pt idx="15">
                  <c:v>3.4</c:v>
                </c:pt>
                <c:pt idx="16">
                  <c:v>3.5</c:v>
                </c:pt>
                <c:pt idx="17">
                  <c:v>3.6</c:v>
                </c:pt>
                <c:pt idx="18">
                  <c:v>3.7</c:v>
                </c:pt>
                <c:pt idx="19">
                  <c:v>3.8</c:v>
                </c:pt>
                <c:pt idx="20">
                  <c:v>3.9</c:v>
                </c:pt>
                <c:pt idx="21">
                  <c:v>4</c:v>
                </c:pt>
                <c:pt idx="22">
                  <c:v>4.0999999999999996</c:v>
                </c:pt>
                <c:pt idx="23">
                  <c:v>4.2</c:v>
                </c:pt>
                <c:pt idx="24">
                  <c:v>4.3</c:v>
                </c:pt>
                <c:pt idx="25">
                  <c:v>4.4000000000000004</c:v>
                </c:pt>
                <c:pt idx="26">
                  <c:v>4.5</c:v>
                </c:pt>
                <c:pt idx="27">
                  <c:v>4.5999999999999996</c:v>
                </c:pt>
                <c:pt idx="28">
                  <c:v>4.7</c:v>
                </c:pt>
                <c:pt idx="29">
                  <c:v>4.8</c:v>
                </c:pt>
                <c:pt idx="30">
                  <c:v>4.9000000000000004</c:v>
                </c:pt>
                <c:pt idx="31">
                  <c:v>5</c:v>
                </c:pt>
                <c:pt idx="32">
                  <c:v>5.0999999999999996</c:v>
                </c:pt>
                <c:pt idx="33">
                  <c:v>5.2</c:v>
                </c:pt>
                <c:pt idx="34">
                  <c:v>5.3</c:v>
                </c:pt>
                <c:pt idx="35">
                  <c:v>5.4</c:v>
                </c:pt>
                <c:pt idx="36">
                  <c:v>5.5</c:v>
                </c:pt>
                <c:pt idx="37">
                  <c:v>5.6</c:v>
                </c:pt>
                <c:pt idx="38">
                  <c:v>5.7</c:v>
                </c:pt>
                <c:pt idx="39">
                  <c:v>5.8</c:v>
                </c:pt>
                <c:pt idx="40">
                  <c:v>5.9</c:v>
                </c:pt>
                <c:pt idx="41">
                  <c:v>6</c:v>
                </c:pt>
              </c:numCache>
            </c:numRef>
          </c:xVal>
          <c:yVal>
            <c:numRef>
              <c:f>Caso5!$T$4:$T$45</c:f>
              <c:numCache>
                <c:formatCode>0.00</c:formatCode>
                <c:ptCount val="42"/>
                <c:pt idx="0">
                  <c:v>0.24940521386666664</c:v>
                </c:pt>
                <c:pt idx="1">
                  <c:v>5.5374444533333333</c:v>
                </c:pt>
                <c:pt idx="2">
                  <c:v>10.471019093333332</c:v>
                </c:pt>
                <c:pt idx="3">
                  <c:v>1.9070143013333332E-4</c:v>
                </c:pt>
                <c:pt idx="4">
                  <c:v>1.3350603226666665E-36</c:v>
                </c:pt>
                <c:pt idx="5">
                  <c:v>2.3721677519999998E-5</c:v>
                </c:pt>
                <c:pt idx="6">
                  <c:v>6.464282986666667E-4</c:v>
                </c:pt>
                <c:pt idx="7">
                  <c:v>1.3062755013333333E-3</c:v>
                </c:pt>
                <c:pt idx="8">
                  <c:v>0.55756425333333326</c:v>
                </c:pt>
                <c:pt idx="9">
                  <c:v>3.9981742666666666</c:v>
                </c:pt>
                <c:pt idx="10">
                  <c:v>9.3134975733333345</c:v>
                </c:pt>
                <c:pt idx="11">
                  <c:v>15.21396376</c:v>
                </c:pt>
                <c:pt idx="12">
                  <c:v>21.236615306666668</c:v>
                </c:pt>
                <c:pt idx="13">
                  <c:v>27.233641333333335</c:v>
                </c:pt>
                <c:pt idx="14">
                  <c:v>33.148359200000002</c:v>
                </c:pt>
                <c:pt idx="15">
                  <c:v>38.981402666666668</c:v>
                </c:pt>
                <c:pt idx="16">
                  <c:v>44.914712533333329</c:v>
                </c:pt>
                <c:pt idx="17">
                  <c:v>50.960438666666668</c:v>
                </c:pt>
                <c:pt idx="18">
                  <c:v>56.781441066666666</c:v>
                </c:pt>
                <c:pt idx="19">
                  <c:v>62.252065866666669</c:v>
                </c:pt>
                <c:pt idx="20">
                  <c:v>67.317252533333345</c:v>
                </c:pt>
                <c:pt idx="21">
                  <c:v>71.943242400000003</c:v>
                </c:pt>
                <c:pt idx="22">
                  <c:v>76.111578399999999</c:v>
                </c:pt>
                <c:pt idx="23">
                  <c:v>79.818170133333339</c:v>
                </c:pt>
                <c:pt idx="24">
                  <c:v>83.072309866666671</c:v>
                </c:pt>
                <c:pt idx="25">
                  <c:v>85.894860266666669</c:v>
                </c:pt>
                <c:pt idx="26">
                  <c:v>88.315724000000003</c:v>
                </c:pt>
                <c:pt idx="27">
                  <c:v>90.370962933333331</c:v>
                </c:pt>
                <c:pt idx="28">
                  <c:v>92.099957866666671</c:v>
                </c:pt>
                <c:pt idx="29">
                  <c:v>93.542914400000001</c:v>
                </c:pt>
                <c:pt idx="30">
                  <c:v>94.738891733333332</c:v>
                </c:pt>
                <c:pt idx="31">
                  <c:v>95.724406133333332</c:v>
                </c:pt>
                <c:pt idx="32">
                  <c:v>96.532575733333331</c:v>
                </c:pt>
                <c:pt idx="33">
                  <c:v>97.192711466666665</c:v>
                </c:pt>
                <c:pt idx="34">
                  <c:v>97.730245600000003</c:v>
                </c:pt>
                <c:pt idx="35">
                  <c:v>98.166895733333348</c:v>
                </c:pt>
                <c:pt idx="36">
                  <c:v>98.520965066666676</c:v>
                </c:pt>
                <c:pt idx="37">
                  <c:v>98.807717600000004</c:v>
                </c:pt>
                <c:pt idx="38">
                  <c:v>99.03985306666668</c:v>
                </c:pt>
                <c:pt idx="39">
                  <c:v>99.227575200000004</c:v>
                </c:pt>
                <c:pt idx="40">
                  <c:v>99.379433333333338</c:v>
                </c:pt>
                <c:pt idx="41">
                  <c:v>99.502313066666659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DA-4C90-9A7B-43DA61488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31071"/>
        <c:axId val="627048351"/>
      </c:scatterChart>
      <c:valAx>
        <c:axId val="627031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48351"/>
        <c:crosses val="autoZero"/>
        <c:crossBetween val="midCat"/>
      </c:valAx>
      <c:valAx>
        <c:axId val="627048351"/>
        <c:scaling>
          <c:orientation val="minMax"/>
          <c:max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31071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T topo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Caso5!$D$4:$D$45</c:f>
              <c:numCache>
                <c:formatCode>General</c:formatCode>
                <c:ptCount val="42"/>
                <c:pt idx="0">
                  <c:v>0.5</c:v>
                </c:pt>
                <c:pt idx="1">
                  <c:v>2</c:v>
                </c:pt>
                <c:pt idx="2">
                  <c:v>2.1</c:v>
                </c:pt>
                <c:pt idx="3">
                  <c:v>2.2000000000000002</c:v>
                </c:pt>
                <c:pt idx="4">
                  <c:v>2.2999999999999998</c:v>
                </c:pt>
                <c:pt idx="5">
                  <c:v>2.4</c:v>
                </c:pt>
                <c:pt idx="6">
                  <c:v>2.5</c:v>
                </c:pt>
                <c:pt idx="7">
                  <c:v>2.6</c:v>
                </c:pt>
                <c:pt idx="8">
                  <c:v>2.7</c:v>
                </c:pt>
                <c:pt idx="9">
                  <c:v>2.8</c:v>
                </c:pt>
                <c:pt idx="10">
                  <c:v>2.9</c:v>
                </c:pt>
                <c:pt idx="11">
                  <c:v>3</c:v>
                </c:pt>
                <c:pt idx="12">
                  <c:v>3.1</c:v>
                </c:pt>
                <c:pt idx="13">
                  <c:v>3.2</c:v>
                </c:pt>
                <c:pt idx="14">
                  <c:v>3.3</c:v>
                </c:pt>
                <c:pt idx="15">
                  <c:v>3.4</c:v>
                </c:pt>
                <c:pt idx="16">
                  <c:v>3.5</c:v>
                </c:pt>
                <c:pt idx="17">
                  <c:v>3.6</c:v>
                </c:pt>
                <c:pt idx="18">
                  <c:v>3.7</c:v>
                </c:pt>
                <c:pt idx="19">
                  <c:v>3.8</c:v>
                </c:pt>
                <c:pt idx="20">
                  <c:v>3.9</c:v>
                </c:pt>
                <c:pt idx="21">
                  <c:v>4</c:v>
                </c:pt>
                <c:pt idx="22">
                  <c:v>4.0999999999999996</c:v>
                </c:pt>
                <c:pt idx="23">
                  <c:v>4.2</c:v>
                </c:pt>
                <c:pt idx="24">
                  <c:v>4.3</c:v>
                </c:pt>
                <c:pt idx="25">
                  <c:v>4.4000000000000004</c:v>
                </c:pt>
                <c:pt idx="26">
                  <c:v>4.5</c:v>
                </c:pt>
                <c:pt idx="27">
                  <c:v>4.5999999999999996</c:v>
                </c:pt>
                <c:pt idx="28">
                  <c:v>4.7</c:v>
                </c:pt>
                <c:pt idx="29">
                  <c:v>4.8</c:v>
                </c:pt>
                <c:pt idx="30">
                  <c:v>4.9000000000000004</c:v>
                </c:pt>
                <c:pt idx="31">
                  <c:v>5</c:v>
                </c:pt>
                <c:pt idx="32">
                  <c:v>5.0999999999999996</c:v>
                </c:pt>
                <c:pt idx="33">
                  <c:v>5.2</c:v>
                </c:pt>
                <c:pt idx="34">
                  <c:v>5.3</c:v>
                </c:pt>
                <c:pt idx="35">
                  <c:v>5.4</c:v>
                </c:pt>
                <c:pt idx="36">
                  <c:v>5.5</c:v>
                </c:pt>
                <c:pt idx="37">
                  <c:v>5.6</c:v>
                </c:pt>
                <c:pt idx="38">
                  <c:v>5.7</c:v>
                </c:pt>
                <c:pt idx="39">
                  <c:v>5.8</c:v>
                </c:pt>
                <c:pt idx="40">
                  <c:v>5.9</c:v>
                </c:pt>
                <c:pt idx="41">
                  <c:v>6</c:v>
                </c:pt>
              </c:numCache>
            </c:numRef>
          </c:xVal>
          <c:yVal>
            <c:numRef>
              <c:f>Caso5!$F$4:$F$45</c:f>
              <c:numCache>
                <c:formatCode>General</c:formatCode>
                <c:ptCount val="42"/>
                <c:pt idx="0">
                  <c:v>-136.62278699999999</c:v>
                </c:pt>
                <c:pt idx="1">
                  <c:v>94.705038900000005</c:v>
                </c:pt>
                <c:pt idx="2">
                  <c:v>106.06828</c:v>
                </c:pt>
                <c:pt idx="3">
                  <c:v>40.2802735</c:v>
                </c:pt>
                <c:pt idx="4">
                  <c:v>-136.62278699999999</c:v>
                </c:pt>
                <c:pt idx="5">
                  <c:v>60.002298400000001</c:v>
                </c:pt>
                <c:pt idx="6">
                  <c:v>60.052925100000003</c:v>
                </c:pt>
                <c:pt idx="7">
                  <c:v>60.106530200000002</c:v>
                </c:pt>
                <c:pt idx="8">
                  <c:v>60.447533499999999</c:v>
                </c:pt>
                <c:pt idx="9">
                  <c:v>60.761178600000001</c:v>
                </c:pt>
                <c:pt idx="10">
                  <c:v>61.524346399999999</c:v>
                </c:pt>
                <c:pt idx="11">
                  <c:v>63.567474400000002</c:v>
                </c:pt>
                <c:pt idx="12">
                  <c:v>68.878544300000001</c:v>
                </c:pt>
                <c:pt idx="13">
                  <c:v>80.688191500000002</c:v>
                </c:pt>
                <c:pt idx="14">
                  <c:v>99.815398200000004</c:v>
                </c:pt>
                <c:pt idx="15">
                  <c:v>125.820689</c:v>
                </c:pt>
                <c:pt idx="16">
                  <c:v>149.73519200000001</c:v>
                </c:pt>
                <c:pt idx="17">
                  <c:v>157.950389</c:v>
                </c:pt>
                <c:pt idx="18">
                  <c:v>160.56937600000001</c:v>
                </c:pt>
                <c:pt idx="19">
                  <c:v>161.76886999999999</c:v>
                </c:pt>
                <c:pt idx="20">
                  <c:v>162.450525</c:v>
                </c:pt>
                <c:pt idx="21">
                  <c:v>162.89102399999999</c:v>
                </c:pt>
                <c:pt idx="22">
                  <c:v>163.20075</c:v>
                </c:pt>
                <c:pt idx="23">
                  <c:v>163.43185399999999</c:v>
                </c:pt>
                <c:pt idx="24">
                  <c:v>163.611997</c:v>
                </c:pt>
                <c:pt idx="25">
                  <c:v>163.757139</c:v>
                </c:pt>
                <c:pt idx="26">
                  <c:v>163.877095</c:v>
                </c:pt>
                <c:pt idx="27">
                  <c:v>163.97822199999999</c:v>
                </c:pt>
                <c:pt idx="28">
                  <c:v>164.064819</c:v>
                </c:pt>
                <c:pt idx="29">
                  <c:v>164.139905</c:v>
                </c:pt>
                <c:pt idx="30">
                  <c:v>164.205671</c:v>
                </c:pt>
                <c:pt idx="31">
                  <c:v>164.26375400000001</c:v>
                </c:pt>
                <c:pt idx="32">
                  <c:v>164.31540899999999</c:v>
                </c:pt>
                <c:pt idx="33">
                  <c:v>164.36162400000001</c:v>
                </c:pt>
                <c:pt idx="34">
                  <c:v>164.40318500000001</c:v>
                </c:pt>
                <c:pt idx="35">
                  <c:v>164.44073399999999</c:v>
                </c:pt>
                <c:pt idx="36">
                  <c:v>164.47479899999999</c:v>
                </c:pt>
                <c:pt idx="37">
                  <c:v>164.505821</c:v>
                </c:pt>
                <c:pt idx="38">
                  <c:v>164.53416899999999</c:v>
                </c:pt>
                <c:pt idx="39">
                  <c:v>164.560159</c:v>
                </c:pt>
                <c:pt idx="40">
                  <c:v>164.584059</c:v>
                </c:pt>
                <c:pt idx="41">
                  <c:v>164.606099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CD-4F35-A697-E23D6B689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1303039"/>
        <c:axId val="1651314559"/>
      </c:scatterChart>
      <c:valAx>
        <c:axId val="1651303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14559"/>
        <c:crosses val="autoZero"/>
        <c:crossBetween val="midCat"/>
      </c:valAx>
      <c:valAx>
        <c:axId val="165131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0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T fundo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Caso5!$D$4:$D$45</c:f>
              <c:numCache>
                <c:formatCode>General</c:formatCode>
                <c:ptCount val="42"/>
                <c:pt idx="0">
                  <c:v>0.5</c:v>
                </c:pt>
                <c:pt idx="1">
                  <c:v>2</c:v>
                </c:pt>
                <c:pt idx="2">
                  <c:v>2.1</c:v>
                </c:pt>
                <c:pt idx="3">
                  <c:v>2.2000000000000002</c:v>
                </c:pt>
                <c:pt idx="4">
                  <c:v>2.2999999999999998</c:v>
                </c:pt>
                <c:pt idx="5">
                  <c:v>2.4</c:v>
                </c:pt>
                <c:pt idx="6">
                  <c:v>2.5</c:v>
                </c:pt>
                <c:pt idx="7">
                  <c:v>2.6</c:v>
                </c:pt>
                <c:pt idx="8">
                  <c:v>2.7</c:v>
                </c:pt>
                <c:pt idx="9">
                  <c:v>2.8</c:v>
                </c:pt>
                <c:pt idx="10">
                  <c:v>2.9</c:v>
                </c:pt>
                <c:pt idx="11">
                  <c:v>3</c:v>
                </c:pt>
                <c:pt idx="12">
                  <c:v>3.1</c:v>
                </c:pt>
                <c:pt idx="13">
                  <c:v>3.2</c:v>
                </c:pt>
                <c:pt idx="14">
                  <c:v>3.3</c:v>
                </c:pt>
                <c:pt idx="15">
                  <c:v>3.4</c:v>
                </c:pt>
                <c:pt idx="16">
                  <c:v>3.5</c:v>
                </c:pt>
                <c:pt idx="17">
                  <c:v>3.6</c:v>
                </c:pt>
                <c:pt idx="18">
                  <c:v>3.7</c:v>
                </c:pt>
                <c:pt idx="19">
                  <c:v>3.8</c:v>
                </c:pt>
                <c:pt idx="20">
                  <c:v>3.9</c:v>
                </c:pt>
                <c:pt idx="21">
                  <c:v>4</c:v>
                </c:pt>
                <c:pt idx="22">
                  <c:v>4.0999999999999996</c:v>
                </c:pt>
                <c:pt idx="23">
                  <c:v>4.2</c:v>
                </c:pt>
                <c:pt idx="24">
                  <c:v>4.3</c:v>
                </c:pt>
                <c:pt idx="25">
                  <c:v>4.4000000000000004</c:v>
                </c:pt>
                <c:pt idx="26">
                  <c:v>4.5</c:v>
                </c:pt>
                <c:pt idx="27">
                  <c:v>4.5999999999999996</c:v>
                </c:pt>
                <c:pt idx="28">
                  <c:v>4.7</c:v>
                </c:pt>
                <c:pt idx="29">
                  <c:v>4.8</c:v>
                </c:pt>
                <c:pt idx="30">
                  <c:v>4.9000000000000004</c:v>
                </c:pt>
                <c:pt idx="31">
                  <c:v>5</c:v>
                </c:pt>
                <c:pt idx="32">
                  <c:v>5.0999999999999996</c:v>
                </c:pt>
                <c:pt idx="33">
                  <c:v>5.2</c:v>
                </c:pt>
                <c:pt idx="34">
                  <c:v>5.3</c:v>
                </c:pt>
                <c:pt idx="35">
                  <c:v>5.4</c:v>
                </c:pt>
                <c:pt idx="36">
                  <c:v>5.5</c:v>
                </c:pt>
                <c:pt idx="37">
                  <c:v>5.6</c:v>
                </c:pt>
                <c:pt idx="38">
                  <c:v>5.7</c:v>
                </c:pt>
                <c:pt idx="39">
                  <c:v>5.8</c:v>
                </c:pt>
                <c:pt idx="40">
                  <c:v>5.9</c:v>
                </c:pt>
                <c:pt idx="41">
                  <c:v>6</c:v>
                </c:pt>
              </c:numCache>
            </c:numRef>
          </c:xVal>
          <c:yVal>
            <c:numRef>
              <c:f>Caso5!$E$4:$E$45</c:f>
              <c:numCache>
                <c:formatCode>General</c:formatCode>
                <c:ptCount val="42"/>
                <c:pt idx="0">
                  <c:v>145.08963600000001</c:v>
                </c:pt>
                <c:pt idx="1">
                  <c:v>160.23836800000001</c:v>
                </c:pt>
                <c:pt idx="2">
                  <c:v>157.38816399999999</c:v>
                </c:pt>
                <c:pt idx="3">
                  <c:v>159.80830800000001</c:v>
                </c:pt>
                <c:pt idx="4">
                  <c:v>160.974098</c:v>
                </c:pt>
                <c:pt idx="5">
                  <c:v>162.25075799999999</c:v>
                </c:pt>
                <c:pt idx="6">
                  <c:v>163.85299800000001</c:v>
                </c:pt>
                <c:pt idx="7">
                  <c:v>165.451617</c:v>
                </c:pt>
                <c:pt idx="8">
                  <c:v>166.31373400000001</c:v>
                </c:pt>
                <c:pt idx="9">
                  <c:v>166.320515</c:v>
                </c:pt>
                <c:pt idx="10">
                  <c:v>166.33099100000001</c:v>
                </c:pt>
                <c:pt idx="11">
                  <c:v>166.34262000000001</c:v>
                </c:pt>
                <c:pt idx="12">
                  <c:v>166.354489</c:v>
                </c:pt>
                <c:pt idx="13">
                  <c:v>166.36630400000001</c:v>
                </c:pt>
                <c:pt idx="14">
                  <c:v>166.377949</c:v>
                </c:pt>
                <c:pt idx="15">
                  <c:v>166.38940600000001</c:v>
                </c:pt>
                <c:pt idx="16">
                  <c:v>166.40094099999999</c:v>
                </c:pt>
                <c:pt idx="17">
                  <c:v>166.412586</c:v>
                </c:pt>
                <c:pt idx="18">
                  <c:v>166.42381900000001</c:v>
                </c:pt>
                <c:pt idx="19">
                  <c:v>166.43442400000001</c:v>
                </c:pt>
                <c:pt idx="20">
                  <c:v>166.44429199999999</c:v>
                </c:pt>
                <c:pt idx="21">
                  <c:v>166.45334800000001</c:v>
                </c:pt>
                <c:pt idx="22">
                  <c:v>166.461547</c:v>
                </c:pt>
                <c:pt idx="23">
                  <c:v>166.46887100000001</c:v>
                </c:pt>
                <c:pt idx="24">
                  <c:v>166.47533100000001</c:v>
                </c:pt>
                <c:pt idx="25">
                  <c:v>166.48095900000001</c:v>
                </c:pt>
                <c:pt idx="26">
                  <c:v>166.48580699999999</c:v>
                </c:pt>
                <c:pt idx="27">
                  <c:v>166.48993999999999</c:v>
                </c:pt>
                <c:pt idx="28">
                  <c:v>166.49343200000001</c:v>
                </c:pt>
                <c:pt idx="29">
                  <c:v>166.49635799999999</c:v>
                </c:pt>
                <c:pt idx="30">
                  <c:v>166.49879300000001</c:v>
                </c:pt>
                <c:pt idx="31">
                  <c:v>166.50080800000001</c:v>
                </c:pt>
                <c:pt idx="32">
                  <c:v>166.502466</c:v>
                </c:pt>
                <c:pt idx="33">
                  <c:v>166.503827</c:v>
                </c:pt>
                <c:pt idx="34">
                  <c:v>166.50493900000001</c:v>
                </c:pt>
                <c:pt idx="35">
                  <c:v>166.50584499999999</c:v>
                </c:pt>
                <c:pt idx="36">
                  <c:v>166.50658300000001</c:v>
                </c:pt>
                <c:pt idx="37">
                  <c:v>166.507184</c:v>
                </c:pt>
                <c:pt idx="38">
                  <c:v>166.50767099999999</c:v>
                </c:pt>
                <c:pt idx="39">
                  <c:v>166.50806700000001</c:v>
                </c:pt>
                <c:pt idx="40">
                  <c:v>166.50838899999999</c:v>
                </c:pt>
                <c:pt idx="41">
                  <c:v>166.50864999999999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4A-405F-8F11-BF1AFE685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015039"/>
        <c:axId val="2116015999"/>
      </c:scatterChart>
      <c:valAx>
        <c:axId val="2116015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15999"/>
        <c:crosses val="autoZero"/>
        <c:crossBetween val="midCat"/>
      </c:valAx>
      <c:valAx>
        <c:axId val="211601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15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recuperação H2S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Caso6!$D$4:$D$45</c:f>
              <c:numCache>
                <c:formatCode>General</c:formatCode>
                <c:ptCount val="42"/>
                <c:pt idx="0">
                  <c:v>0.5</c:v>
                </c:pt>
                <c:pt idx="1">
                  <c:v>2</c:v>
                </c:pt>
                <c:pt idx="2">
                  <c:v>2.1</c:v>
                </c:pt>
                <c:pt idx="3">
                  <c:v>2.2000000000000002</c:v>
                </c:pt>
                <c:pt idx="4">
                  <c:v>2.2999999999999998</c:v>
                </c:pt>
                <c:pt idx="5">
                  <c:v>2.4</c:v>
                </c:pt>
                <c:pt idx="6">
                  <c:v>2.5</c:v>
                </c:pt>
                <c:pt idx="7">
                  <c:v>2.6</c:v>
                </c:pt>
                <c:pt idx="8">
                  <c:v>2.7</c:v>
                </c:pt>
                <c:pt idx="9">
                  <c:v>2.8</c:v>
                </c:pt>
                <c:pt idx="10">
                  <c:v>2.9</c:v>
                </c:pt>
                <c:pt idx="11">
                  <c:v>3</c:v>
                </c:pt>
                <c:pt idx="12">
                  <c:v>3.1</c:v>
                </c:pt>
                <c:pt idx="13">
                  <c:v>3.2</c:v>
                </c:pt>
                <c:pt idx="14">
                  <c:v>3.3</c:v>
                </c:pt>
                <c:pt idx="15">
                  <c:v>3.4</c:v>
                </c:pt>
                <c:pt idx="16">
                  <c:v>3.5</c:v>
                </c:pt>
                <c:pt idx="17">
                  <c:v>3.6</c:v>
                </c:pt>
                <c:pt idx="18">
                  <c:v>3.7</c:v>
                </c:pt>
                <c:pt idx="19">
                  <c:v>3.8</c:v>
                </c:pt>
                <c:pt idx="20">
                  <c:v>3.9</c:v>
                </c:pt>
                <c:pt idx="21">
                  <c:v>4</c:v>
                </c:pt>
                <c:pt idx="22">
                  <c:v>4.0999999999999996</c:v>
                </c:pt>
                <c:pt idx="23">
                  <c:v>4.2</c:v>
                </c:pt>
                <c:pt idx="24">
                  <c:v>4.3</c:v>
                </c:pt>
                <c:pt idx="25">
                  <c:v>4.4000000000000004</c:v>
                </c:pt>
                <c:pt idx="26">
                  <c:v>4.5</c:v>
                </c:pt>
                <c:pt idx="27">
                  <c:v>4.5999999999999996</c:v>
                </c:pt>
                <c:pt idx="28">
                  <c:v>4.7</c:v>
                </c:pt>
                <c:pt idx="29">
                  <c:v>4.8</c:v>
                </c:pt>
                <c:pt idx="30">
                  <c:v>4.9000000000000004</c:v>
                </c:pt>
                <c:pt idx="31">
                  <c:v>5</c:v>
                </c:pt>
                <c:pt idx="32">
                  <c:v>5.0999999999999996</c:v>
                </c:pt>
                <c:pt idx="33">
                  <c:v>5.2</c:v>
                </c:pt>
                <c:pt idx="34">
                  <c:v>5.3</c:v>
                </c:pt>
                <c:pt idx="35">
                  <c:v>5.4</c:v>
                </c:pt>
                <c:pt idx="36">
                  <c:v>5.5</c:v>
                </c:pt>
                <c:pt idx="37">
                  <c:v>5.6</c:v>
                </c:pt>
                <c:pt idx="38">
                  <c:v>5.7</c:v>
                </c:pt>
                <c:pt idx="39">
                  <c:v>5.8</c:v>
                </c:pt>
                <c:pt idx="40">
                  <c:v>5.9</c:v>
                </c:pt>
                <c:pt idx="41">
                  <c:v>6</c:v>
                </c:pt>
              </c:numCache>
            </c:numRef>
          </c:xVal>
          <c:yVal>
            <c:numRef>
              <c:f>Caso6!$S$4:$S$45</c:f>
              <c:numCache>
                <c:formatCode>0.00</c:formatCode>
                <c:ptCount val="42"/>
                <c:pt idx="0">
                  <c:v>9.2416108685714274E-36</c:v>
                </c:pt>
                <c:pt idx="1">
                  <c:v>0.37991575428571434</c:v>
                </c:pt>
                <c:pt idx="2">
                  <c:v>58.895702857142858</c:v>
                </c:pt>
                <c:pt idx="3">
                  <c:v>116.97410628571429</c:v>
                </c:pt>
                <c:pt idx="4">
                  <c:v>34.078689028571432</c:v>
                </c:pt>
                <c:pt idx="5">
                  <c:v>52.294437828571432</c:v>
                </c:pt>
                <c:pt idx="6">
                  <c:v>71.20788422857143</c:v>
                </c:pt>
                <c:pt idx="7">
                  <c:v>90.832337600000002</c:v>
                </c:pt>
                <c:pt idx="8">
                  <c:v>100.00000125714287</c:v>
                </c:pt>
                <c:pt idx="9">
                  <c:v>99.999990285714276</c:v>
                </c:pt>
                <c:pt idx="10">
                  <c:v>99.99998502857143</c:v>
                </c:pt>
                <c:pt idx="11">
                  <c:v>99.99994651428571</c:v>
                </c:pt>
                <c:pt idx="12">
                  <c:v>100</c:v>
                </c:pt>
                <c:pt idx="13">
                  <c:v>99.999980342857143</c:v>
                </c:pt>
                <c:pt idx="14">
                  <c:v>100.0000008</c:v>
                </c:pt>
                <c:pt idx="15">
                  <c:v>99.999994171428568</c:v>
                </c:pt>
                <c:pt idx="16">
                  <c:v>99.999986399999983</c:v>
                </c:pt>
                <c:pt idx="17">
                  <c:v>100.00000011428571</c:v>
                </c:pt>
                <c:pt idx="18">
                  <c:v>100</c:v>
                </c:pt>
                <c:pt idx="19">
                  <c:v>100</c:v>
                </c:pt>
                <c:pt idx="20">
                  <c:v>99.999998399999996</c:v>
                </c:pt>
                <c:pt idx="21">
                  <c:v>99.999999428571428</c:v>
                </c:pt>
                <c:pt idx="22">
                  <c:v>99.999999771428577</c:v>
                </c:pt>
                <c:pt idx="23">
                  <c:v>99.999999885714288</c:v>
                </c:pt>
                <c:pt idx="24">
                  <c:v>99.999999885714288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77-41EA-A8FE-3B6C078E4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60831"/>
        <c:axId val="627070911"/>
      </c:scatterChart>
      <c:valAx>
        <c:axId val="62706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70911"/>
        <c:crosses val="autoZero"/>
        <c:crossBetween val="midCat"/>
      </c:valAx>
      <c:valAx>
        <c:axId val="627070911"/>
        <c:scaling>
          <c:orientation val="minMax"/>
          <c:max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60831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perda NH3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Caso6!$D$4:$D$45</c:f>
              <c:numCache>
                <c:formatCode>General</c:formatCode>
                <c:ptCount val="42"/>
                <c:pt idx="0">
                  <c:v>0.5</c:v>
                </c:pt>
                <c:pt idx="1">
                  <c:v>2</c:v>
                </c:pt>
                <c:pt idx="2">
                  <c:v>2.1</c:v>
                </c:pt>
                <c:pt idx="3">
                  <c:v>2.2000000000000002</c:v>
                </c:pt>
                <c:pt idx="4">
                  <c:v>2.2999999999999998</c:v>
                </c:pt>
                <c:pt idx="5">
                  <c:v>2.4</c:v>
                </c:pt>
                <c:pt idx="6">
                  <c:v>2.5</c:v>
                </c:pt>
                <c:pt idx="7">
                  <c:v>2.6</c:v>
                </c:pt>
                <c:pt idx="8">
                  <c:v>2.7</c:v>
                </c:pt>
                <c:pt idx="9">
                  <c:v>2.8</c:v>
                </c:pt>
                <c:pt idx="10">
                  <c:v>2.9</c:v>
                </c:pt>
                <c:pt idx="11">
                  <c:v>3</c:v>
                </c:pt>
                <c:pt idx="12">
                  <c:v>3.1</c:v>
                </c:pt>
                <c:pt idx="13">
                  <c:v>3.2</c:v>
                </c:pt>
                <c:pt idx="14">
                  <c:v>3.3</c:v>
                </c:pt>
                <c:pt idx="15">
                  <c:v>3.4</c:v>
                </c:pt>
                <c:pt idx="16">
                  <c:v>3.5</c:v>
                </c:pt>
                <c:pt idx="17">
                  <c:v>3.6</c:v>
                </c:pt>
                <c:pt idx="18">
                  <c:v>3.7</c:v>
                </c:pt>
                <c:pt idx="19">
                  <c:v>3.8</c:v>
                </c:pt>
                <c:pt idx="20">
                  <c:v>3.9</c:v>
                </c:pt>
                <c:pt idx="21">
                  <c:v>4</c:v>
                </c:pt>
                <c:pt idx="22">
                  <c:v>4.0999999999999996</c:v>
                </c:pt>
                <c:pt idx="23">
                  <c:v>4.2</c:v>
                </c:pt>
                <c:pt idx="24">
                  <c:v>4.3</c:v>
                </c:pt>
                <c:pt idx="25">
                  <c:v>4.4000000000000004</c:v>
                </c:pt>
                <c:pt idx="26">
                  <c:v>4.5</c:v>
                </c:pt>
                <c:pt idx="27">
                  <c:v>4.5999999999999996</c:v>
                </c:pt>
                <c:pt idx="28">
                  <c:v>4.7</c:v>
                </c:pt>
                <c:pt idx="29">
                  <c:v>4.8</c:v>
                </c:pt>
                <c:pt idx="30">
                  <c:v>4.9000000000000004</c:v>
                </c:pt>
                <c:pt idx="31">
                  <c:v>5</c:v>
                </c:pt>
                <c:pt idx="32">
                  <c:v>5.0999999999999996</c:v>
                </c:pt>
                <c:pt idx="33">
                  <c:v>5.2</c:v>
                </c:pt>
                <c:pt idx="34">
                  <c:v>5.3</c:v>
                </c:pt>
                <c:pt idx="35">
                  <c:v>5.4</c:v>
                </c:pt>
                <c:pt idx="36">
                  <c:v>5.5</c:v>
                </c:pt>
                <c:pt idx="37">
                  <c:v>5.6</c:v>
                </c:pt>
                <c:pt idx="38">
                  <c:v>5.7</c:v>
                </c:pt>
                <c:pt idx="39">
                  <c:v>5.8</c:v>
                </c:pt>
                <c:pt idx="40">
                  <c:v>5.9</c:v>
                </c:pt>
                <c:pt idx="41">
                  <c:v>6</c:v>
                </c:pt>
              </c:numCache>
            </c:numRef>
          </c:xVal>
          <c:yVal>
            <c:numRef>
              <c:f>Caso6!$T$4:$T$45</c:f>
              <c:numCache>
                <c:formatCode>0.00</c:formatCode>
                <c:ptCount val="42"/>
                <c:pt idx="0">
                  <c:v>2.7700900933333335E-3</c:v>
                </c:pt>
                <c:pt idx="1">
                  <c:v>0.18372847066666667</c:v>
                </c:pt>
                <c:pt idx="2">
                  <c:v>2.9281971066666667E-4</c:v>
                </c:pt>
                <c:pt idx="3">
                  <c:v>17.889522533333334</c:v>
                </c:pt>
                <c:pt idx="4">
                  <c:v>5.9548590533333335E-4</c:v>
                </c:pt>
                <c:pt idx="5">
                  <c:v>9.3371340533333349E-4</c:v>
                </c:pt>
                <c:pt idx="6">
                  <c:v>1.3046120773333334E-3</c:v>
                </c:pt>
                <c:pt idx="7">
                  <c:v>1.7158671466666667E-3</c:v>
                </c:pt>
                <c:pt idx="8">
                  <c:v>0.72815467866666661</c:v>
                </c:pt>
                <c:pt idx="9">
                  <c:v>4.3756503466666663</c:v>
                </c:pt>
                <c:pt idx="10">
                  <c:v>9.6899438000000018</c:v>
                </c:pt>
                <c:pt idx="11">
                  <c:v>15.506584799999997</c:v>
                </c:pt>
                <c:pt idx="12">
                  <c:v>21.431869199999998</c:v>
                </c:pt>
                <c:pt idx="13">
                  <c:v>27.341503066666665</c:v>
                </c:pt>
                <c:pt idx="14">
                  <c:v>33.194800533333336</c:v>
                </c:pt>
                <c:pt idx="15">
                  <c:v>39.018985333333333</c:v>
                </c:pt>
                <c:pt idx="16">
                  <c:v>44.943055333333326</c:v>
                </c:pt>
                <c:pt idx="17">
                  <c:v>50.896751466666664</c:v>
                </c:pt>
                <c:pt idx="18">
                  <c:v>56.647945866666667</c:v>
                </c:pt>
                <c:pt idx="19">
                  <c:v>62.078826266666653</c:v>
                </c:pt>
                <c:pt idx="20">
                  <c:v>67.127444800000006</c:v>
                </c:pt>
                <c:pt idx="21">
                  <c:v>71.754248533333325</c:v>
                </c:pt>
                <c:pt idx="22">
                  <c:v>75.935513866666668</c:v>
                </c:pt>
                <c:pt idx="23">
                  <c:v>79.662428399999996</c:v>
                </c:pt>
                <c:pt idx="24">
                  <c:v>82.940280933333327</c:v>
                </c:pt>
                <c:pt idx="25">
                  <c:v>85.786842666666658</c:v>
                </c:pt>
                <c:pt idx="26">
                  <c:v>88.22990320000001</c:v>
                </c:pt>
                <c:pt idx="27">
                  <c:v>90.304313866666675</c:v>
                </c:pt>
                <c:pt idx="28">
                  <c:v>92.048974133333331</c:v>
                </c:pt>
                <c:pt idx="29">
                  <c:v>93.504123866666674</c:v>
                </c:pt>
                <c:pt idx="30">
                  <c:v>94.709169199999991</c:v>
                </c:pt>
                <c:pt idx="31">
                  <c:v>95.701123999999993</c:v>
                </c:pt>
                <c:pt idx="32">
                  <c:v>96.513638266666661</c:v>
                </c:pt>
                <c:pt idx="33">
                  <c:v>97.176519466666662</c:v>
                </c:pt>
                <c:pt idx="34">
                  <c:v>97.71562826666667</c:v>
                </c:pt>
                <c:pt idx="35">
                  <c:v>98.153027866666662</c:v>
                </c:pt>
                <c:pt idx="36">
                  <c:v>98.507289600000007</c:v>
                </c:pt>
                <c:pt idx="37">
                  <c:v>98.793877599999988</c:v>
                </c:pt>
                <c:pt idx="38">
                  <c:v>99.025557066666678</c:v>
                </c:pt>
                <c:pt idx="39">
                  <c:v>99.212793466666668</c:v>
                </c:pt>
                <c:pt idx="40">
                  <c:v>99.364120533333335</c:v>
                </c:pt>
                <c:pt idx="41">
                  <c:v>99.486467199999993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40-4970-8025-8DA526B7E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31071"/>
        <c:axId val="627048351"/>
      </c:scatterChart>
      <c:valAx>
        <c:axId val="627031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48351"/>
        <c:crosses val="autoZero"/>
        <c:crossBetween val="midCat"/>
      </c:valAx>
      <c:valAx>
        <c:axId val="627048351"/>
        <c:scaling>
          <c:orientation val="minMax"/>
          <c:max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31071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T topo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Caso6!$D$4:$D$45</c:f>
              <c:numCache>
                <c:formatCode>General</c:formatCode>
                <c:ptCount val="42"/>
                <c:pt idx="0">
                  <c:v>0.5</c:v>
                </c:pt>
                <c:pt idx="1">
                  <c:v>2</c:v>
                </c:pt>
                <c:pt idx="2">
                  <c:v>2.1</c:v>
                </c:pt>
                <c:pt idx="3">
                  <c:v>2.2000000000000002</c:v>
                </c:pt>
                <c:pt idx="4">
                  <c:v>2.2999999999999998</c:v>
                </c:pt>
                <c:pt idx="5">
                  <c:v>2.4</c:v>
                </c:pt>
                <c:pt idx="6">
                  <c:v>2.5</c:v>
                </c:pt>
                <c:pt idx="7">
                  <c:v>2.6</c:v>
                </c:pt>
                <c:pt idx="8">
                  <c:v>2.7</c:v>
                </c:pt>
                <c:pt idx="9">
                  <c:v>2.8</c:v>
                </c:pt>
                <c:pt idx="10">
                  <c:v>2.9</c:v>
                </c:pt>
                <c:pt idx="11">
                  <c:v>3</c:v>
                </c:pt>
                <c:pt idx="12">
                  <c:v>3.1</c:v>
                </c:pt>
                <c:pt idx="13">
                  <c:v>3.2</c:v>
                </c:pt>
                <c:pt idx="14">
                  <c:v>3.3</c:v>
                </c:pt>
                <c:pt idx="15">
                  <c:v>3.4</c:v>
                </c:pt>
                <c:pt idx="16">
                  <c:v>3.5</c:v>
                </c:pt>
                <c:pt idx="17">
                  <c:v>3.6</c:v>
                </c:pt>
                <c:pt idx="18">
                  <c:v>3.7</c:v>
                </c:pt>
                <c:pt idx="19">
                  <c:v>3.8</c:v>
                </c:pt>
                <c:pt idx="20">
                  <c:v>3.9</c:v>
                </c:pt>
                <c:pt idx="21">
                  <c:v>4</c:v>
                </c:pt>
                <c:pt idx="22">
                  <c:v>4.0999999999999996</c:v>
                </c:pt>
                <c:pt idx="23">
                  <c:v>4.2</c:v>
                </c:pt>
                <c:pt idx="24">
                  <c:v>4.3</c:v>
                </c:pt>
                <c:pt idx="25">
                  <c:v>4.4000000000000004</c:v>
                </c:pt>
                <c:pt idx="26">
                  <c:v>4.5</c:v>
                </c:pt>
                <c:pt idx="27">
                  <c:v>4.5999999999999996</c:v>
                </c:pt>
                <c:pt idx="28">
                  <c:v>4.7</c:v>
                </c:pt>
                <c:pt idx="29">
                  <c:v>4.8</c:v>
                </c:pt>
                <c:pt idx="30">
                  <c:v>4.9000000000000004</c:v>
                </c:pt>
                <c:pt idx="31">
                  <c:v>5</c:v>
                </c:pt>
                <c:pt idx="32">
                  <c:v>5.0999999999999996</c:v>
                </c:pt>
                <c:pt idx="33">
                  <c:v>5.2</c:v>
                </c:pt>
                <c:pt idx="34">
                  <c:v>5.3</c:v>
                </c:pt>
                <c:pt idx="35">
                  <c:v>5.4</c:v>
                </c:pt>
                <c:pt idx="36">
                  <c:v>5.5</c:v>
                </c:pt>
                <c:pt idx="37">
                  <c:v>5.6</c:v>
                </c:pt>
                <c:pt idx="38">
                  <c:v>5.7</c:v>
                </c:pt>
                <c:pt idx="39">
                  <c:v>5.8</c:v>
                </c:pt>
                <c:pt idx="40">
                  <c:v>5.9</c:v>
                </c:pt>
                <c:pt idx="41">
                  <c:v>6</c:v>
                </c:pt>
              </c:numCache>
            </c:numRef>
          </c:xVal>
          <c:yVal>
            <c:numRef>
              <c:f>Caso6!$F$4:$F$45</c:f>
              <c:numCache>
                <c:formatCode>General</c:formatCode>
                <c:ptCount val="42"/>
                <c:pt idx="0">
                  <c:v>65.950377200000005</c:v>
                </c:pt>
                <c:pt idx="1">
                  <c:v>-79.736556800000002</c:v>
                </c:pt>
                <c:pt idx="2">
                  <c:v>-28.320058100000001</c:v>
                </c:pt>
                <c:pt idx="3">
                  <c:v>-4.8056422000000003</c:v>
                </c:pt>
                <c:pt idx="4">
                  <c:v>60.084828700000003</c:v>
                </c:pt>
                <c:pt idx="5">
                  <c:v>60.143031000000001</c:v>
                </c:pt>
                <c:pt idx="6">
                  <c:v>60.1956256</c:v>
                </c:pt>
                <c:pt idx="7">
                  <c:v>60.251421800000003</c:v>
                </c:pt>
                <c:pt idx="8">
                  <c:v>60.795275599999997</c:v>
                </c:pt>
                <c:pt idx="9">
                  <c:v>61.422114000000001</c:v>
                </c:pt>
                <c:pt idx="10">
                  <c:v>62.7001001</c:v>
                </c:pt>
                <c:pt idx="11">
                  <c:v>65.663832600000006</c:v>
                </c:pt>
                <c:pt idx="12">
                  <c:v>72.2101124</c:v>
                </c:pt>
                <c:pt idx="13">
                  <c:v>84.4722388</c:v>
                </c:pt>
                <c:pt idx="14">
                  <c:v>102.684568</c:v>
                </c:pt>
                <c:pt idx="15">
                  <c:v>125.435872</c:v>
                </c:pt>
                <c:pt idx="16">
                  <c:v>144.481505</c:v>
                </c:pt>
                <c:pt idx="17">
                  <c:v>153.214538</c:v>
                </c:pt>
                <c:pt idx="18">
                  <c:v>156.95455000000001</c:v>
                </c:pt>
                <c:pt idx="19">
                  <c:v>158.89375200000001</c:v>
                </c:pt>
                <c:pt idx="20">
                  <c:v>160.064131</c:v>
                </c:pt>
                <c:pt idx="21">
                  <c:v>160.847182</c:v>
                </c:pt>
                <c:pt idx="22">
                  <c:v>161.410359</c:v>
                </c:pt>
                <c:pt idx="23">
                  <c:v>161.83736999999999</c:v>
                </c:pt>
                <c:pt idx="24">
                  <c:v>162.17426900000001</c:v>
                </c:pt>
                <c:pt idx="25">
                  <c:v>162.44829799999999</c:v>
                </c:pt>
                <c:pt idx="26">
                  <c:v>162.676523</c:v>
                </c:pt>
                <c:pt idx="27">
                  <c:v>162.87014600000001</c:v>
                </c:pt>
                <c:pt idx="28">
                  <c:v>163.036824</c:v>
                </c:pt>
                <c:pt idx="29">
                  <c:v>163.181984</c:v>
                </c:pt>
                <c:pt idx="30">
                  <c:v>163.309595</c:v>
                </c:pt>
                <c:pt idx="31">
                  <c:v>163.42265</c:v>
                </c:pt>
                <c:pt idx="32">
                  <c:v>163.523459</c:v>
                </c:pt>
                <c:pt idx="33">
                  <c:v>163.61384799999999</c:v>
                </c:pt>
                <c:pt idx="34">
                  <c:v>163.69529</c:v>
                </c:pt>
                <c:pt idx="35">
                  <c:v>163.76898800000001</c:v>
                </c:pt>
                <c:pt idx="36">
                  <c:v>163.83593999999999</c:v>
                </c:pt>
                <c:pt idx="37">
                  <c:v>163.89698300000001</c:v>
                </c:pt>
                <c:pt idx="38">
                  <c:v>163.95282399999999</c:v>
                </c:pt>
                <c:pt idx="39">
                  <c:v>164.00406599999999</c:v>
                </c:pt>
                <c:pt idx="40">
                  <c:v>164.05122600000001</c:v>
                </c:pt>
                <c:pt idx="41">
                  <c:v>164.09474800000001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27-49AC-9843-A1709FE1B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1303039"/>
        <c:axId val="1651314559"/>
      </c:scatterChart>
      <c:valAx>
        <c:axId val="1651303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14559"/>
        <c:crosses val="autoZero"/>
        <c:crossBetween val="midCat"/>
      </c:valAx>
      <c:valAx>
        <c:axId val="165131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0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T fundo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Caso6!$D$4:$D$45</c:f>
              <c:numCache>
                <c:formatCode>General</c:formatCode>
                <c:ptCount val="42"/>
                <c:pt idx="0">
                  <c:v>0.5</c:v>
                </c:pt>
                <c:pt idx="1">
                  <c:v>2</c:v>
                </c:pt>
                <c:pt idx="2">
                  <c:v>2.1</c:v>
                </c:pt>
                <c:pt idx="3">
                  <c:v>2.2000000000000002</c:v>
                </c:pt>
                <c:pt idx="4">
                  <c:v>2.2999999999999998</c:v>
                </c:pt>
                <c:pt idx="5">
                  <c:v>2.4</c:v>
                </c:pt>
                <c:pt idx="6">
                  <c:v>2.5</c:v>
                </c:pt>
                <c:pt idx="7">
                  <c:v>2.6</c:v>
                </c:pt>
                <c:pt idx="8">
                  <c:v>2.7</c:v>
                </c:pt>
                <c:pt idx="9">
                  <c:v>2.8</c:v>
                </c:pt>
                <c:pt idx="10">
                  <c:v>2.9</c:v>
                </c:pt>
                <c:pt idx="11">
                  <c:v>3</c:v>
                </c:pt>
                <c:pt idx="12">
                  <c:v>3.1</c:v>
                </c:pt>
                <c:pt idx="13">
                  <c:v>3.2</c:v>
                </c:pt>
                <c:pt idx="14">
                  <c:v>3.3</c:v>
                </c:pt>
                <c:pt idx="15">
                  <c:v>3.4</c:v>
                </c:pt>
                <c:pt idx="16">
                  <c:v>3.5</c:v>
                </c:pt>
                <c:pt idx="17">
                  <c:v>3.6</c:v>
                </c:pt>
                <c:pt idx="18">
                  <c:v>3.7</c:v>
                </c:pt>
                <c:pt idx="19">
                  <c:v>3.8</c:v>
                </c:pt>
                <c:pt idx="20">
                  <c:v>3.9</c:v>
                </c:pt>
                <c:pt idx="21">
                  <c:v>4</c:v>
                </c:pt>
                <c:pt idx="22">
                  <c:v>4.0999999999999996</c:v>
                </c:pt>
                <c:pt idx="23">
                  <c:v>4.2</c:v>
                </c:pt>
                <c:pt idx="24">
                  <c:v>4.3</c:v>
                </c:pt>
                <c:pt idx="25">
                  <c:v>4.4000000000000004</c:v>
                </c:pt>
                <c:pt idx="26">
                  <c:v>4.5</c:v>
                </c:pt>
                <c:pt idx="27">
                  <c:v>4.5999999999999996</c:v>
                </c:pt>
                <c:pt idx="28">
                  <c:v>4.7</c:v>
                </c:pt>
                <c:pt idx="29">
                  <c:v>4.8</c:v>
                </c:pt>
                <c:pt idx="30">
                  <c:v>4.9000000000000004</c:v>
                </c:pt>
                <c:pt idx="31">
                  <c:v>5</c:v>
                </c:pt>
                <c:pt idx="32">
                  <c:v>5.0999999999999996</c:v>
                </c:pt>
                <c:pt idx="33">
                  <c:v>5.2</c:v>
                </c:pt>
                <c:pt idx="34">
                  <c:v>5.3</c:v>
                </c:pt>
                <c:pt idx="35">
                  <c:v>5.4</c:v>
                </c:pt>
                <c:pt idx="36">
                  <c:v>5.5</c:v>
                </c:pt>
                <c:pt idx="37">
                  <c:v>5.6</c:v>
                </c:pt>
                <c:pt idx="38">
                  <c:v>5.7</c:v>
                </c:pt>
                <c:pt idx="39">
                  <c:v>5.8</c:v>
                </c:pt>
                <c:pt idx="40">
                  <c:v>5.9</c:v>
                </c:pt>
                <c:pt idx="41">
                  <c:v>6</c:v>
                </c:pt>
              </c:numCache>
            </c:numRef>
          </c:xVal>
          <c:yVal>
            <c:numRef>
              <c:f>Caso6!$E$4:$E$45</c:f>
              <c:numCache>
                <c:formatCode>General</c:formatCode>
                <c:ptCount val="42"/>
                <c:pt idx="0">
                  <c:v>138.637462</c:v>
                </c:pt>
                <c:pt idx="1">
                  <c:v>155.915648</c:v>
                </c:pt>
                <c:pt idx="2">
                  <c:v>165.44024099999999</c:v>
                </c:pt>
                <c:pt idx="3">
                  <c:v>166.49899199999999</c:v>
                </c:pt>
                <c:pt idx="4">
                  <c:v>160.57814300000001</c:v>
                </c:pt>
                <c:pt idx="5">
                  <c:v>162.185169</c:v>
                </c:pt>
                <c:pt idx="6">
                  <c:v>163.78847200000001</c:v>
                </c:pt>
                <c:pt idx="7">
                  <c:v>165.38823300000001</c:v>
                </c:pt>
                <c:pt idx="8">
                  <c:v>166.11773600000001</c:v>
                </c:pt>
                <c:pt idx="9">
                  <c:v>166.13213400000001</c:v>
                </c:pt>
                <c:pt idx="10">
                  <c:v>166.15311600000001</c:v>
                </c:pt>
                <c:pt idx="11">
                  <c:v>166.17608000000001</c:v>
                </c:pt>
                <c:pt idx="12">
                  <c:v>166.199466</c:v>
                </c:pt>
                <c:pt idx="13">
                  <c:v>166.22277800000001</c:v>
                </c:pt>
                <c:pt idx="14">
                  <c:v>166.24583799999999</c:v>
                </c:pt>
                <c:pt idx="15">
                  <c:v>166.26869400000001</c:v>
                </c:pt>
                <c:pt idx="16">
                  <c:v>166.29172600000001</c:v>
                </c:pt>
                <c:pt idx="17">
                  <c:v>166.314739</c:v>
                </c:pt>
                <c:pt idx="18">
                  <c:v>166.337005</c:v>
                </c:pt>
                <c:pt idx="19">
                  <c:v>166.35811799999999</c:v>
                </c:pt>
                <c:pt idx="20">
                  <c:v>166.377835</c:v>
                </c:pt>
                <c:pt idx="21">
                  <c:v>166.39599000000001</c:v>
                </c:pt>
                <c:pt idx="22">
                  <c:v>166.412474</c:v>
                </c:pt>
                <c:pt idx="23">
                  <c:v>166.427234</c:v>
                </c:pt>
                <c:pt idx="24">
                  <c:v>166.44027399999999</c:v>
                </c:pt>
                <c:pt idx="25">
                  <c:v>166.45164700000001</c:v>
                </c:pt>
                <c:pt idx="26">
                  <c:v>166.46145000000001</c:v>
                </c:pt>
                <c:pt idx="27">
                  <c:v>166.469809</c:v>
                </c:pt>
                <c:pt idx="28">
                  <c:v>166.476868</c:v>
                </c:pt>
                <c:pt idx="29">
                  <c:v>166.48277899999999</c:v>
                </c:pt>
                <c:pt idx="30">
                  <c:v>166.487695</c:v>
                </c:pt>
                <c:pt idx="31">
                  <c:v>166.49175700000001</c:v>
                </c:pt>
                <c:pt idx="32">
                  <c:v>166.49509699999999</c:v>
                </c:pt>
                <c:pt idx="33">
                  <c:v>166.49783400000001</c:v>
                </c:pt>
                <c:pt idx="34">
                  <c:v>166.500067</c:v>
                </c:pt>
                <c:pt idx="35">
                  <c:v>166.50188700000001</c:v>
                </c:pt>
                <c:pt idx="36">
                  <c:v>166.503366</c:v>
                </c:pt>
                <c:pt idx="37">
                  <c:v>166.50456800000001</c:v>
                </c:pt>
                <c:pt idx="38">
                  <c:v>166.50554299999999</c:v>
                </c:pt>
                <c:pt idx="39">
                  <c:v>166.50633400000001</c:v>
                </c:pt>
                <c:pt idx="40">
                  <c:v>166.50697500000001</c:v>
                </c:pt>
                <c:pt idx="41">
                  <c:v>166.507496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7B-477D-B380-A9BBBA8C4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015039"/>
        <c:axId val="2116015999"/>
      </c:scatterChart>
      <c:valAx>
        <c:axId val="2116015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15999"/>
        <c:crosses val="autoZero"/>
        <c:crossBetween val="midCat"/>
      </c:valAx>
      <c:valAx>
        <c:axId val="211601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15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recuperação H2S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Caso7!$D$4:$D$45</c:f>
              <c:numCache>
                <c:formatCode>General</c:formatCode>
                <c:ptCount val="42"/>
                <c:pt idx="0">
                  <c:v>0.5</c:v>
                </c:pt>
                <c:pt idx="1">
                  <c:v>2</c:v>
                </c:pt>
                <c:pt idx="2">
                  <c:v>2.1</c:v>
                </c:pt>
                <c:pt idx="3">
                  <c:v>2.2000000000000002</c:v>
                </c:pt>
                <c:pt idx="4">
                  <c:v>2.2999999999999998</c:v>
                </c:pt>
                <c:pt idx="5">
                  <c:v>2.4</c:v>
                </c:pt>
                <c:pt idx="6">
                  <c:v>2.5</c:v>
                </c:pt>
                <c:pt idx="7">
                  <c:v>2.6</c:v>
                </c:pt>
                <c:pt idx="8">
                  <c:v>2.7</c:v>
                </c:pt>
                <c:pt idx="9">
                  <c:v>2.8</c:v>
                </c:pt>
                <c:pt idx="10">
                  <c:v>2.9</c:v>
                </c:pt>
                <c:pt idx="11">
                  <c:v>3</c:v>
                </c:pt>
                <c:pt idx="12">
                  <c:v>3.1</c:v>
                </c:pt>
                <c:pt idx="13">
                  <c:v>3.2</c:v>
                </c:pt>
                <c:pt idx="14">
                  <c:v>3.3</c:v>
                </c:pt>
                <c:pt idx="15">
                  <c:v>3.4</c:v>
                </c:pt>
                <c:pt idx="16">
                  <c:v>3.5</c:v>
                </c:pt>
                <c:pt idx="17">
                  <c:v>3.6</c:v>
                </c:pt>
                <c:pt idx="18">
                  <c:v>3.7</c:v>
                </c:pt>
                <c:pt idx="19">
                  <c:v>3.8</c:v>
                </c:pt>
                <c:pt idx="20">
                  <c:v>3.9</c:v>
                </c:pt>
                <c:pt idx="21">
                  <c:v>4</c:v>
                </c:pt>
                <c:pt idx="22">
                  <c:v>4.0999999999999996</c:v>
                </c:pt>
                <c:pt idx="23">
                  <c:v>4.2</c:v>
                </c:pt>
                <c:pt idx="24">
                  <c:v>4.3</c:v>
                </c:pt>
                <c:pt idx="25">
                  <c:v>4.4000000000000004</c:v>
                </c:pt>
                <c:pt idx="26">
                  <c:v>4.5</c:v>
                </c:pt>
                <c:pt idx="27">
                  <c:v>4.5999999999999996</c:v>
                </c:pt>
                <c:pt idx="28">
                  <c:v>4.7</c:v>
                </c:pt>
                <c:pt idx="29">
                  <c:v>4.8</c:v>
                </c:pt>
                <c:pt idx="30">
                  <c:v>4.9000000000000004</c:v>
                </c:pt>
                <c:pt idx="31">
                  <c:v>5</c:v>
                </c:pt>
                <c:pt idx="32">
                  <c:v>5.0999999999999996</c:v>
                </c:pt>
                <c:pt idx="33">
                  <c:v>5.2</c:v>
                </c:pt>
                <c:pt idx="34">
                  <c:v>5.3</c:v>
                </c:pt>
                <c:pt idx="35">
                  <c:v>5.4</c:v>
                </c:pt>
                <c:pt idx="36">
                  <c:v>5.5</c:v>
                </c:pt>
                <c:pt idx="37">
                  <c:v>5.6</c:v>
                </c:pt>
                <c:pt idx="38">
                  <c:v>5.7</c:v>
                </c:pt>
                <c:pt idx="39">
                  <c:v>5.8</c:v>
                </c:pt>
                <c:pt idx="40">
                  <c:v>5.9</c:v>
                </c:pt>
                <c:pt idx="41">
                  <c:v>6</c:v>
                </c:pt>
              </c:numCache>
            </c:numRef>
          </c:xVal>
          <c:yVal>
            <c:numRef>
              <c:f>Caso7!$S$4:$S$45</c:f>
              <c:numCache>
                <c:formatCode>0.00</c:formatCode>
                <c:ptCount val="42"/>
                <c:pt idx="0">
                  <c:v>1.51125168</c:v>
                </c:pt>
                <c:pt idx="1">
                  <c:v>0.26560395428571432</c:v>
                </c:pt>
                <c:pt idx="2">
                  <c:v>3.569674377142857</c:v>
                </c:pt>
                <c:pt idx="3">
                  <c:v>20.588060685714286</c:v>
                </c:pt>
                <c:pt idx="4">
                  <c:v>38.279929485714291</c:v>
                </c:pt>
                <c:pt idx="5">
                  <c:v>56.657400000000003</c:v>
                </c:pt>
                <c:pt idx="6">
                  <c:v>75.734356114285703</c:v>
                </c:pt>
                <c:pt idx="7">
                  <c:v>95.524802285714287</c:v>
                </c:pt>
                <c:pt idx="8">
                  <c:v>100.00000068571428</c:v>
                </c:pt>
                <c:pt idx="9">
                  <c:v>99.999970285714284</c:v>
                </c:pt>
                <c:pt idx="10">
                  <c:v>99.999938628571442</c:v>
                </c:pt>
                <c:pt idx="11">
                  <c:v>100.01262388571428</c:v>
                </c:pt>
                <c:pt idx="12">
                  <c:v>100</c:v>
                </c:pt>
                <c:pt idx="13">
                  <c:v>99.999915542857138</c:v>
                </c:pt>
                <c:pt idx="14">
                  <c:v>99.999992457142838</c:v>
                </c:pt>
                <c:pt idx="15">
                  <c:v>99.99999954285714</c:v>
                </c:pt>
                <c:pt idx="16">
                  <c:v>99.999998285714284</c:v>
                </c:pt>
                <c:pt idx="17">
                  <c:v>100.00000034285713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99.999998057142861</c:v>
                </c:pt>
                <c:pt idx="22">
                  <c:v>99.999998971428582</c:v>
                </c:pt>
                <c:pt idx="23">
                  <c:v>99.999999314285716</c:v>
                </c:pt>
                <c:pt idx="24">
                  <c:v>99.99999954285714</c:v>
                </c:pt>
                <c:pt idx="25">
                  <c:v>99.999999657142865</c:v>
                </c:pt>
                <c:pt idx="26">
                  <c:v>99.999999771428577</c:v>
                </c:pt>
                <c:pt idx="27">
                  <c:v>99.999999885714288</c:v>
                </c:pt>
                <c:pt idx="28">
                  <c:v>99.999999885714288</c:v>
                </c:pt>
                <c:pt idx="29">
                  <c:v>99.999999885714288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A9-4796-9242-F8A602360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60831"/>
        <c:axId val="627070911"/>
      </c:scatterChart>
      <c:valAx>
        <c:axId val="62706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70911"/>
        <c:crosses val="autoZero"/>
        <c:crossBetween val="midCat"/>
      </c:valAx>
      <c:valAx>
        <c:axId val="627070911"/>
        <c:scaling>
          <c:orientation val="minMax"/>
          <c:max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60831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perda NH3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Caso7!$D$4:$D$45</c:f>
              <c:numCache>
                <c:formatCode>General</c:formatCode>
                <c:ptCount val="42"/>
                <c:pt idx="0">
                  <c:v>0.5</c:v>
                </c:pt>
                <c:pt idx="1">
                  <c:v>2</c:v>
                </c:pt>
                <c:pt idx="2">
                  <c:v>2.1</c:v>
                </c:pt>
                <c:pt idx="3">
                  <c:v>2.2000000000000002</c:v>
                </c:pt>
                <c:pt idx="4">
                  <c:v>2.2999999999999998</c:v>
                </c:pt>
                <c:pt idx="5">
                  <c:v>2.4</c:v>
                </c:pt>
                <c:pt idx="6">
                  <c:v>2.5</c:v>
                </c:pt>
                <c:pt idx="7">
                  <c:v>2.6</c:v>
                </c:pt>
                <c:pt idx="8">
                  <c:v>2.7</c:v>
                </c:pt>
                <c:pt idx="9">
                  <c:v>2.8</c:v>
                </c:pt>
                <c:pt idx="10">
                  <c:v>2.9</c:v>
                </c:pt>
                <c:pt idx="11">
                  <c:v>3</c:v>
                </c:pt>
                <c:pt idx="12">
                  <c:v>3.1</c:v>
                </c:pt>
                <c:pt idx="13">
                  <c:v>3.2</c:v>
                </c:pt>
                <c:pt idx="14">
                  <c:v>3.3</c:v>
                </c:pt>
                <c:pt idx="15">
                  <c:v>3.4</c:v>
                </c:pt>
                <c:pt idx="16">
                  <c:v>3.5</c:v>
                </c:pt>
                <c:pt idx="17">
                  <c:v>3.6</c:v>
                </c:pt>
                <c:pt idx="18">
                  <c:v>3.7</c:v>
                </c:pt>
                <c:pt idx="19">
                  <c:v>3.8</c:v>
                </c:pt>
                <c:pt idx="20">
                  <c:v>3.9</c:v>
                </c:pt>
                <c:pt idx="21">
                  <c:v>4</c:v>
                </c:pt>
                <c:pt idx="22">
                  <c:v>4.0999999999999996</c:v>
                </c:pt>
                <c:pt idx="23">
                  <c:v>4.2</c:v>
                </c:pt>
                <c:pt idx="24">
                  <c:v>4.3</c:v>
                </c:pt>
                <c:pt idx="25">
                  <c:v>4.4000000000000004</c:v>
                </c:pt>
                <c:pt idx="26">
                  <c:v>4.5</c:v>
                </c:pt>
                <c:pt idx="27">
                  <c:v>4.5999999999999996</c:v>
                </c:pt>
                <c:pt idx="28">
                  <c:v>4.7</c:v>
                </c:pt>
                <c:pt idx="29">
                  <c:v>4.8</c:v>
                </c:pt>
                <c:pt idx="30">
                  <c:v>4.9000000000000004</c:v>
                </c:pt>
                <c:pt idx="31">
                  <c:v>5</c:v>
                </c:pt>
                <c:pt idx="32">
                  <c:v>5.0999999999999996</c:v>
                </c:pt>
                <c:pt idx="33">
                  <c:v>5.2</c:v>
                </c:pt>
                <c:pt idx="34">
                  <c:v>5.3</c:v>
                </c:pt>
                <c:pt idx="35">
                  <c:v>5.4</c:v>
                </c:pt>
                <c:pt idx="36">
                  <c:v>5.5</c:v>
                </c:pt>
                <c:pt idx="37">
                  <c:v>5.6</c:v>
                </c:pt>
                <c:pt idx="38">
                  <c:v>5.7</c:v>
                </c:pt>
                <c:pt idx="39">
                  <c:v>5.8</c:v>
                </c:pt>
                <c:pt idx="40">
                  <c:v>5.9</c:v>
                </c:pt>
                <c:pt idx="41">
                  <c:v>6</c:v>
                </c:pt>
              </c:numCache>
            </c:numRef>
          </c:xVal>
          <c:yVal>
            <c:numRef>
              <c:f>Caso7!$T$4:$T$45</c:f>
              <c:numCache>
                <c:formatCode>0.00</c:formatCode>
                <c:ptCount val="42"/>
                <c:pt idx="0">
                  <c:v>4.4062747933333335E-37</c:v>
                </c:pt>
                <c:pt idx="1">
                  <c:v>9.992127666666667E-2</c:v>
                </c:pt>
                <c:pt idx="2">
                  <c:v>3.2350746533333334E-5</c:v>
                </c:pt>
                <c:pt idx="3">
                  <c:v>1.9225701399999998E-4</c:v>
                </c:pt>
                <c:pt idx="4">
                  <c:v>3.7011062000000001E-4</c:v>
                </c:pt>
                <c:pt idx="5">
                  <c:v>5.7075949999999996E-4</c:v>
                </c:pt>
                <c:pt idx="6">
                  <c:v>8.0053580000000006E-4</c:v>
                </c:pt>
                <c:pt idx="7">
                  <c:v>1.0676643200000001E-3</c:v>
                </c:pt>
                <c:pt idx="8">
                  <c:v>1.2456742066666666</c:v>
                </c:pt>
                <c:pt idx="9">
                  <c:v>5.1884722866666664</c:v>
                </c:pt>
                <c:pt idx="10">
                  <c:v>10.411254733333333</c:v>
                </c:pt>
                <c:pt idx="11">
                  <c:v>16.0213988</c:v>
                </c:pt>
                <c:pt idx="12">
                  <c:v>21.737574466666668</c:v>
                </c:pt>
                <c:pt idx="13">
                  <c:v>27.454288466666672</c:v>
                </c:pt>
                <c:pt idx="14">
                  <c:v>33.1544016</c:v>
                </c:pt>
                <c:pt idx="15">
                  <c:v>38.875798666666668</c:v>
                </c:pt>
                <c:pt idx="16">
                  <c:v>44.678234266666664</c:v>
                </c:pt>
                <c:pt idx="17">
                  <c:v>50.474507999999993</c:v>
                </c:pt>
                <c:pt idx="18">
                  <c:v>56.105384799999996</c:v>
                </c:pt>
                <c:pt idx="19">
                  <c:v>61.466115800000004</c:v>
                </c:pt>
                <c:pt idx="20">
                  <c:v>66.489782599999998</c:v>
                </c:pt>
                <c:pt idx="21">
                  <c:v>71.128518666666665</c:v>
                </c:pt>
                <c:pt idx="22">
                  <c:v>75.34996000000001</c:v>
                </c:pt>
                <c:pt idx="23">
                  <c:v>79.135810000000006</c:v>
                </c:pt>
                <c:pt idx="24">
                  <c:v>82.482518666666664</c:v>
                </c:pt>
                <c:pt idx="25">
                  <c:v>85.400415333333342</c:v>
                </c:pt>
                <c:pt idx="26">
                  <c:v>87.911729333333327</c:v>
                </c:pt>
                <c:pt idx="27">
                  <c:v>90.047737999999995</c:v>
                </c:pt>
                <c:pt idx="28">
                  <c:v>91.845526666666672</c:v>
                </c:pt>
                <c:pt idx="29">
                  <c:v>93.344877333333329</c:v>
                </c:pt>
                <c:pt idx="30">
                  <c:v>94.585641333333342</c:v>
                </c:pt>
                <c:pt idx="31">
                  <c:v>95.605788000000004</c:v>
                </c:pt>
                <c:pt idx="32">
                  <c:v>96.440132666666671</c:v>
                </c:pt>
                <c:pt idx="33">
                  <c:v>97.119657999999987</c:v>
                </c:pt>
                <c:pt idx="34">
                  <c:v>97.671297333333342</c:v>
                </c:pt>
                <c:pt idx="35">
                  <c:v>98.118035999999989</c:v>
                </c:pt>
                <c:pt idx="36">
                  <c:v>98.479199999999992</c:v>
                </c:pt>
                <c:pt idx="37">
                  <c:v>98.77085533333333</c:v>
                </c:pt>
                <c:pt idx="38">
                  <c:v>99.006233333333341</c:v>
                </c:pt>
                <c:pt idx="39">
                  <c:v>99.196157333333346</c:v>
                </c:pt>
                <c:pt idx="40">
                  <c:v>99.349429333333347</c:v>
                </c:pt>
                <c:pt idx="41">
                  <c:v>99.47317799999999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D7-49F7-BB6D-BE70DC391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31071"/>
        <c:axId val="627048351"/>
      </c:scatterChart>
      <c:valAx>
        <c:axId val="627031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48351"/>
        <c:crosses val="autoZero"/>
        <c:crossBetween val="midCat"/>
      </c:valAx>
      <c:valAx>
        <c:axId val="627048351"/>
        <c:scaling>
          <c:orientation val="minMax"/>
          <c:max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31071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T topo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Caso7!$D$4:$D$45</c:f>
              <c:numCache>
                <c:formatCode>General</c:formatCode>
                <c:ptCount val="42"/>
                <c:pt idx="0">
                  <c:v>0.5</c:v>
                </c:pt>
                <c:pt idx="1">
                  <c:v>2</c:v>
                </c:pt>
                <c:pt idx="2">
                  <c:v>2.1</c:v>
                </c:pt>
                <c:pt idx="3">
                  <c:v>2.2000000000000002</c:v>
                </c:pt>
                <c:pt idx="4">
                  <c:v>2.2999999999999998</c:v>
                </c:pt>
                <c:pt idx="5">
                  <c:v>2.4</c:v>
                </c:pt>
                <c:pt idx="6">
                  <c:v>2.5</c:v>
                </c:pt>
                <c:pt idx="7">
                  <c:v>2.6</c:v>
                </c:pt>
                <c:pt idx="8">
                  <c:v>2.7</c:v>
                </c:pt>
                <c:pt idx="9">
                  <c:v>2.8</c:v>
                </c:pt>
                <c:pt idx="10">
                  <c:v>2.9</c:v>
                </c:pt>
                <c:pt idx="11">
                  <c:v>3</c:v>
                </c:pt>
                <c:pt idx="12">
                  <c:v>3.1</c:v>
                </c:pt>
                <c:pt idx="13">
                  <c:v>3.2</c:v>
                </c:pt>
                <c:pt idx="14">
                  <c:v>3.3</c:v>
                </c:pt>
                <c:pt idx="15">
                  <c:v>3.4</c:v>
                </c:pt>
                <c:pt idx="16">
                  <c:v>3.5</c:v>
                </c:pt>
                <c:pt idx="17">
                  <c:v>3.6</c:v>
                </c:pt>
                <c:pt idx="18">
                  <c:v>3.7</c:v>
                </c:pt>
                <c:pt idx="19">
                  <c:v>3.8</c:v>
                </c:pt>
                <c:pt idx="20">
                  <c:v>3.9</c:v>
                </c:pt>
                <c:pt idx="21">
                  <c:v>4</c:v>
                </c:pt>
                <c:pt idx="22">
                  <c:v>4.0999999999999996</c:v>
                </c:pt>
                <c:pt idx="23">
                  <c:v>4.2</c:v>
                </c:pt>
                <c:pt idx="24">
                  <c:v>4.3</c:v>
                </c:pt>
                <c:pt idx="25">
                  <c:v>4.4000000000000004</c:v>
                </c:pt>
                <c:pt idx="26">
                  <c:v>4.5</c:v>
                </c:pt>
                <c:pt idx="27">
                  <c:v>4.5999999999999996</c:v>
                </c:pt>
                <c:pt idx="28">
                  <c:v>4.7</c:v>
                </c:pt>
                <c:pt idx="29">
                  <c:v>4.8</c:v>
                </c:pt>
                <c:pt idx="30">
                  <c:v>4.9000000000000004</c:v>
                </c:pt>
                <c:pt idx="31">
                  <c:v>5</c:v>
                </c:pt>
                <c:pt idx="32">
                  <c:v>5.0999999999999996</c:v>
                </c:pt>
                <c:pt idx="33">
                  <c:v>5.2</c:v>
                </c:pt>
                <c:pt idx="34">
                  <c:v>5.3</c:v>
                </c:pt>
                <c:pt idx="35">
                  <c:v>5.4</c:v>
                </c:pt>
                <c:pt idx="36">
                  <c:v>5.5</c:v>
                </c:pt>
                <c:pt idx="37">
                  <c:v>5.6</c:v>
                </c:pt>
                <c:pt idx="38">
                  <c:v>5.7</c:v>
                </c:pt>
                <c:pt idx="39">
                  <c:v>5.8</c:v>
                </c:pt>
                <c:pt idx="40">
                  <c:v>5.9</c:v>
                </c:pt>
                <c:pt idx="41">
                  <c:v>6</c:v>
                </c:pt>
              </c:numCache>
            </c:numRef>
          </c:xVal>
          <c:yVal>
            <c:numRef>
              <c:f>Caso7!$F$4:$F$45</c:f>
              <c:numCache>
                <c:formatCode>General</c:formatCode>
                <c:ptCount val="42"/>
                <c:pt idx="0">
                  <c:v>19.619669200000001</c:v>
                </c:pt>
                <c:pt idx="1">
                  <c:v>-136.72382899999999</c:v>
                </c:pt>
                <c:pt idx="2">
                  <c:v>60.006979899999997</c:v>
                </c:pt>
                <c:pt idx="3">
                  <c:v>60.056429700000002</c:v>
                </c:pt>
                <c:pt idx="4">
                  <c:v>60.104378099999998</c:v>
                </c:pt>
                <c:pt idx="5">
                  <c:v>60.155143199999998</c:v>
                </c:pt>
                <c:pt idx="6">
                  <c:v>60.208410000000001</c:v>
                </c:pt>
                <c:pt idx="7">
                  <c:v>60.264918000000002</c:v>
                </c:pt>
                <c:pt idx="8">
                  <c:v>60.954985999999998</c:v>
                </c:pt>
                <c:pt idx="9">
                  <c:v>61.983125200000003</c:v>
                </c:pt>
                <c:pt idx="10">
                  <c:v>64.807465500000006</c:v>
                </c:pt>
                <c:pt idx="11">
                  <c:v>71.088597899999996</c:v>
                </c:pt>
                <c:pt idx="12">
                  <c:v>82.515556900000007</c:v>
                </c:pt>
                <c:pt idx="13">
                  <c:v>96.775329600000006</c:v>
                </c:pt>
                <c:pt idx="14">
                  <c:v>113.289162</c:v>
                </c:pt>
                <c:pt idx="15">
                  <c:v>130.44463200000001</c:v>
                </c:pt>
                <c:pt idx="16">
                  <c:v>143.55973</c:v>
                </c:pt>
                <c:pt idx="17">
                  <c:v>150.71481299999999</c:v>
                </c:pt>
                <c:pt idx="18">
                  <c:v>154.43901099999999</c:v>
                </c:pt>
                <c:pt idx="19">
                  <c:v>156.59085899999999</c:v>
                </c:pt>
                <c:pt idx="20">
                  <c:v>157.973714</c:v>
                </c:pt>
                <c:pt idx="21">
                  <c:v>158.93898300000001</c:v>
                </c:pt>
                <c:pt idx="22">
                  <c:v>159.65616900000001</c:v>
                </c:pt>
                <c:pt idx="23">
                  <c:v>160.21508299999999</c:v>
                </c:pt>
                <c:pt idx="24">
                  <c:v>160.66691299999999</c:v>
                </c:pt>
                <c:pt idx="25">
                  <c:v>161.04261399999999</c:v>
                </c:pt>
                <c:pt idx="26">
                  <c:v>161.361831</c:v>
                </c:pt>
                <c:pt idx="27">
                  <c:v>161.63756100000001</c:v>
                </c:pt>
                <c:pt idx="28">
                  <c:v>161.878738</c:v>
                </c:pt>
                <c:pt idx="29">
                  <c:v>162.091736</c:v>
                </c:pt>
                <c:pt idx="30">
                  <c:v>162.28126800000001</c:v>
                </c:pt>
                <c:pt idx="31">
                  <c:v>162.45093</c:v>
                </c:pt>
                <c:pt idx="32">
                  <c:v>162.603557</c:v>
                </c:pt>
                <c:pt idx="33">
                  <c:v>162.741435</c:v>
                </c:pt>
                <c:pt idx="34">
                  <c:v>162.86644699999999</c:v>
                </c:pt>
                <c:pt idx="35">
                  <c:v>162.98017100000001</c:v>
                </c:pt>
                <c:pt idx="36">
                  <c:v>163.083945</c:v>
                </c:pt>
                <c:pt idx="37">
                  <c:v>163.17891299999999</c:v>
                </c:pt>
                <c:pt idx="38">
                  <c:v>163.26606000000001</c:v>
                </c:pt>
                <c:pt idx="39">
                  <c:v>163.34624099999999</c:v>
                </c:pt>
                <c:pt idx="40">
                  <c:v>163.420198</c:v>
                </c:pt>
                <c:pt idx="41">
                  <c:v>163.48857899999999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02-4FC3-A3B6-8E2913F52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1303039"/>
        <c:axId val="1651314559"/>
      </c:scatterChart>
      <c:valAx>
        <c:axId val="1651303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14559"/>
        <c:crosses val="autoZero"/>
        <c:crossBetween val="midCat"/>
      </c:valAx>
      <c:valAx>
        <c:axId val="165131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0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T fundo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Caso7!$D$4:$D$45</c:f>
              <c:numCache>
                <c:formatCode>General</c:formatCode>
                <c:ptCount val="42"/>
                <c:pt idx="0">
                  <c:v>0.5</c:v>
                </c:pt>
                <c:pt idx="1">
                  <c:v>2</c:v>
                </c:pt>
                <c:pt idx="2">
                  <c:v>2.1</c:v>
                </c:pt>
                <c:pt idx="3">
                  <c:v>2.2000000000000002</c:v>
                </c:pt>
                <c:pt idx="4">
                  <c:v>2.2999999999999998</c:v>
                </c:pt>
                <c:pt idx="5">
                  <c:v>2.4</c:v>
                </c:pt>
                <c:pt idx="6">
                  <c:v>2.5</c:v>
                </c:pt>
                <c:pt idx="7">
                  <c:v>2.6</c:v>
                </c:pt>
                <c:pt idx="8">
                  <c:v>2.7</c:v>
                </c:pt>
                <c:pt idx="9">
                  <c:v>2.8</c:v>
                </c:pt>
                <c:pt idx="10">
                  <c:v>2.9</c:v>
                </c:pt>
                <c:pt idx="11">
                  <c:v>3</c:v>
                </c:pt>
                <c:pt idx="12">
                  <c:v>3.1</c:v>
                </c:pt>
                <c:pt idx="13">
                  <c:v>3.2</c:v>
                </c:pt>
                <c:pt idx="14">
                  <c:v>3.3</c:v>
                </c:pt>
                <c:pt idx="15">
                  <c:v>3.4</c:v>
                </c:pt>
                <c:pt idx="16">
                  <c:v>3.5</c:v>
                </c:pt>
                <c:pt idx="17">
                  <c:v>3.6</c:v>
                </c:pt>
                <c:pt idx="18">
                  <c:v>3.7</c:v>
                </c:pt>
                <c:pt idx="19">
                  <c:v>3.8</c:v>
                </c:pt>
                <c:pt idx="20">
                  <c:v>3.9</c:v>
                </c:pt>
                <c:pt idx="21">
                  <c:v>4</c:v>
                </c:pt>
                <c:pt idx="22">
                  <c:v>4.0999999999999996</c:v>
                </c:pt>
                <c:pt idx="23">
                  <c:v>4.2</c:v>
                </c:pt>
                <c:pt idx="24">
                  <c:v>4.3</c:v>
                </c:pt>
                <c:pt idx="25">
                  <c:v>4.4000000000000004</c:v>
                </c:pt>
                <c:pt idx="26">
                  <c:v>4.5</c:v>
                </c:pt>
                <c:pt idx="27">
                  <c:v>4.5999999999999996</c:v>
                </c:pt>
                <c:pt idx="28">
                  <c:v>4.7</c:v>
                </c:pt>
                <c:pt idx="29">
                  <c:v>4.8</c:v>
                </c:pt>
                <c:pt idx="30">
                  <c:v>4.9000000000000004</c:v>
                </c:pt>
                <c:pt idx="31">
                  <c:v>5</c:v>
                </c:pt>
                <c:pt idx="32">
                  <c:v>5.0999999999999996</c:v>
                </c:pt>
                <c:pt idx="33">
                  <c:v>5.2</c:v>
                </c:pt>
                <c:pt idx="34">
                  <c:v>5.3</c:v>
                </c:pt>
                <c:pt idx="35">
                  <c:v>5.4</c:v>
                </c:pt>
                <c:pt idx="36">
                  <c:v>5.5</c:v>
                </c:pt>
                <c:pt idx="37">
                  <c:v>5.6</c:v>
                </c:pt>
                <c:pt idx="38">
                  <c:v>5.7</c:v>
                </c:pt>
                <c:pt idx="39">
                  <c:v>5.8</c:v>
                </c:pt>
                <c:pt idx="40">
                  <c:v>5.9</c:v>
                </c:pt>
                <c:pt idx="41">
                  <c:v>6</c:v>
                </c:pt>
              </c:numCache>
            </c:numRef>
          </c:xVal>
          <c:yVal>
            <c:numRef>
              <c:f>Caso7!$E$4:$E$45</c:f>
              <c:numCache>
                <c:formatCode>General</c:formatCode>
                <c:ptCount val="42"/>
                <c:pt idx="0">
                  <c:v>136.872499</c:v>
                </c:pt>
                <c:pt idx="1">
                  <c:v>155.47288800000001</c:v>
                </c:pt>
                <c:pt idx="2">
                  <c:v>157.33492699999999</c:v>
                </c:pt>
                <c:pt idx="3">
                  <c:v>158.948159</c:v>
                </c:pt>
                <c:pt idx="4">
                  <c:v>160.55789300000001</c:v>
                </c:pt>
                <c:pt idx="5">
                  <c:v>162.16412600000001</c:v>
                </c:pt>
                <c:pt idx="6">
                  <c:v>163.76658599999999</c:v>
                </c:pt>
                <c:pt idx="7">
                  <c:v>165.36552699999999</c:v>
                </c:pt>
                <c:pt idx="8">
                  <c:v>165.72852499999999</c:v>
                </c:pt>
                <c:pt idx="9">
                  <c:v>165.75971200000001</c:v>
                </c:pt>
                <c:pt idx="10">
                  <c:v>165.80102299999999</c:v>
                </c:pt>
                <c:pt idx="11">
                  <c:v>165.845418</c:v>
                </c:pt>
                <c:pt idx="12">
                  <c:v>165.89055999999999</c:v>
                </c:pt>
                <c:pt idx="13">
                  <c:v>165.93569299999999</c:v>
                </c:pt>
                <c:pt idx="14">
                  <c:v>165.98059599999999</c:v>
                </c:pt>
                <c:pt idx="15">
                  <c:v>166.02544700000001</c:v>
                </c:pt>
                <c:pt idx="16">
                  <c:v>166.07060100000001</c:v>
                </c:pt>
                <c:pt idx="17">
                  <c:v>166.11554699999999</c:v>
                </c:pt>
                <c:pt idx="18">
                  <c:v>166.15927500000001</c:v>
                </c:pt>
                <c:pt idx="19">
                  <c:v>166.20105799999999</c:v>
                </c:pt>
                <c:pt idx="20">
                  <c:v>166.24038400000001</c:v>
                </c:pt>
                <c:pt idx="21">
                  <c:v>166.27686199999999</c:v>
                </c:pt>
                <c:pt idx="22">
                  <c:v>166.31020799999999</c:v>
                </c:pt>
                <c:pt idx="23">
                  <c:v>166.34024600000001</c:v>
                </c:pt>
                <c:pt idx="24">
                  <c:v>166.366917</c:v>
                </c:pt>
                <c:pt idx="25">
                  <c:v>166.39026899999999</c:v>
                </c:pt>
                <c:pt idx="26">
                  <c:v>166.41045199999999</c:v>
                </c:pt>
                <c:pt idx="27">
                  <c:v>166.42769000000001</c:v>
                </c:pt>
                <c:pt idx="28">
                  <c:v>166.44225700000001</c:v>
                </c:pt>
                <c:pt idx="29">
                  <c:v>166.454454</c:v>
                </c:pt>
                <c:pt idx="30">
                  <c:v>166.46458799999999</c:v>
                </c:pt>
                <c:pt idx="31">
                  <c:v>166.47295199999999</c:v>
                </c:pt>
                <c:pt idx="32">
                  <c:v>166.47981999999999</c:v>
                </c:pt>
                <c:pt idx="33">
                  <c:v>166.485435</c:v>
                </c:pt>
                <c:pt idx="34">
                  <c:v>166.49001200000001</c:v>
                </c:pt>
                <c:pt idx="35">
                  <c:v>166.49373199999999</c:v>
                </c:pt>
                <c:pt idx="36">
                  <c:v>166.49675099999999</c:v>
                </c:pt>
                <c:pt idx="37">
                  <c:v>166.49919800000001</c:v>
                </c:pt>
                <c:pt idx="38">
                  <c:v>166.501181</c:v>
                </c:pt>
                <c:pt idx="39">
                  <c:v>166.50278700000001</c:v>
                </c:pt>
                <c:pt idx="40">
                  <c:v>166.504088</c:v>
                </c:pt>
                <c:pt idx="41">
                  <c:v>166.505143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85-4813-BB4F-B81145986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015039"/>
        <c:axId val="2116015999"/>
      </c:scatterChart>
      <c:valAx>
        <c:axId val="2116015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15999"/>
        <c:crosses val="autoZero"/>
        <c:crossBetween val="midCat"/>
      </c:valAx>
      <c:valAx>
        <c:axId val="211601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15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recuperação H2S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Caso8!$D$4:$D$45</c:f>
              <c:numCache>
                <c:formatCode>General</c:formatCode>
                <c:ptCount val="42"/>
                <c:pt idx="0">
                  <c:v>0.5</c:v>
                </c:pt>
                <c:pt idx="1">
                  <c:v>2</c:v>
                </c:pt>
                <c:pt idx="2">
                  <c:v>2.1</c:v>
                </c:pt>
                <c:pt idx="3">
                  <c:v>2.2000000000000002</c:v>
                </c:pt>
                <c:pt idx="4">
                  <c:v>2.2999999999999998</c:v>
                </c:pt>
                <c:pt idx="5">
                  <c:v>2.4</c:v>
                </c:pt>
                <c:pt idx="6">
                  <c:v>2.5</c:v>
                </c:pt>
                <c:pt idx="7">
                  <c:v>2.6</c:v>
                </c:pt>
                <c:pt idx="8">
                  <c:v>2.7</c:v>
                </c:pt>
                <c:pt idx="9">
                  <c:v>2.8</c:v>
                </c:pt>
                <c:pt idx="10">
                  <c:v>2.9</c:v>
                </c:pt>
                <c:pt idx="11">
                  <c:v>3</c:v>
                </c:pt>
                <c:pt idx="12">
                  <c:v>3.1</c:v>
                </c:pt>
                <c:pt idx="13">
                  <c:v>3.2</c:v>
                </c:pt>
                <c:pt idx="14">
                  <c:v>3.3</c:v>
                </c:pt>
                <c:pt idx="15">
                  <c:v>3.4</c:v>
                </c:pt>
                <c:pt idx="16">
                  <c:v>3.5</c:v>
                </c:pt>
                <c:pt idx="17">
                  <c:v>3.6</c:v>
                </c:pt>
                <c:pt idx="18">
                  <c:v>3.7</c:v>
                </c:pt>
                <c:pt idx="19">
                  <c:v>3.8</c:v>
                </c:pt>
                <c:pt idx="20">
                  <c:v>3.9</c:v>
                </c:pt>
                <c:pt idx="21">
                  <c:v>4</c:v>
                </c:pt>
                <c:pt idx="22">
                  <c:v>4.0999999999999996</c:v>
                </c:pt>
                <c:pt idx="23">
                  <c:v>4.2</c:v>
                </c:pt>
                <c:pt idx="24">
                  <c:v>4.3</c:v>
                </c:pt>
                <c:pt idx="25">
                  <c:v>4.4000000000000004</c:v>
                </c:pt>
                <c:pt idx="26">
                  <c:v>4.5</c:v>
                </c:pt>
                <c:pt idx="27">
                  <c:v>4.5999999999999996</c:v>
                </c:pt>
                <c:pt idx="28">
                  <c:v>4.7</c:v>
                </c:pt>
                <c:pt idx="29">
                  <c:v>4.8</c:v>
                </c:pt>
                <c:pt idx="30">
                  <c:v>4.9000000000000004</c:v>
                </c:pt>
                <c:pt idx="31">
                  <c:v>5</c:v>
                </c:pt>
                <c:pt idx="32">
                  <c:v>5.0999999999999996</c:v>
                </c:pt>
                <c:pt idx="33">
                  <c:v>5.2</c:v>
                </c:pt>
                <c:pt idx="34">
                  <c:v>5.3</c:v>
                </c:pt>
                <c:pt idx="35">
                  <c:v>5.4</c:v>
                </c:pt>
                <c:pt idx="36">
                  <c:v>5.5</c:v>
                </c:pt>
                <c:pt idx="37">
                  <c:v>5.6</c:v>
                </c:pt>
                <c:pt idx="38">
                  <c:v>5.7</c:v>
                </c:pt>
                <c:pt idx="39">
                  <c:v>5.8</c:v>
                </c:pt>
                <c:pt idx="40">
                  <c:v>5.9</c:v>
                </c:pt>
                <c:pt idx="41">
                  <c:v>6</c:v>
                </c:pt>
              </c:numCache>
            </c:numRef>
          </c:xVal>
          <c:yVal>
            <c:numRef>
              <c:f>Caso8!$S$4:$S$45</c:f>
              <c:numCache>
                <c:formatCode>0.00</c:formatCode>
                <c:ptCount val="42"/>
                <c:pt idx="0">
                  <c:v>9.1354633904761913E-5</c:v>
                </c:pt>
                <c:pt idx="1">
                  <c:v>23.223057752380953</c:v>
                </c:pt>
                <c:pt idx="2">
                  <c:v>34.056756876190477</c:v>
                </c:pt>
                <c:pt idx="3">
                  <c:v>45.340974628571431</c:v>
                </c:pt>
                <c:pt idx="4">
                  <c:v>57.066927542857144</c:v>
                </c:pt>
                <c:pt idx="5">
                  <c:v>69.249393295238093</c:v>
                </c:pt>
                <c:pt idx="6">
                  <c:v>81.897750857142853</c:v>
                </c:pt>
                <c:pt idx="7">
                  <c:v>95.021324952380951</c:v>
                </c:pt>
                <c:pt idx="8">
                  <c:v>100.00000076190476</c:v>
                </c:pt>
                <c:pt idx="9">
                  <c:v>100</c:v>
                </c:pt>
                <c:pt idx="10">
                  <c:v>99.99999161904762</c:v>
                </c:pt>
                <c:pt idx="11">
                  <c:v>99.999978666666678</c:v>
                </c:pt>
                <c:pt idx="12">
                  <c:v>99.999942095238083</c:v>
                </c:pt>
                <c:pt idx="13">
                  <c:v>99.999974095238102</c:v>
                </c:pt>
                <c:pt idx="14">
                  <c:v>100.00000152380952</c:v>
                </c:pt>
                <c:pt idx="15">
                  <c:v>99.999997714285712</c:v>
                </c:pt>
                <c:pt idx="16">
                  <c:v>99.999986285714272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99.999997714285712</c:v>
                </c:pt>
                <c:pt idx="22">
                  <c:v>99.999999238095242</c:v>
                </c:pt>
                <c:pt idx="23">
                  <c:v>99.999999238095242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9D-408E-89B5-B62EA1776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60831"/>
        <c:axId val="627070911"/>
      </c:scatterChart>
      <c:valAx>
        <c:axId val="62706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70911"/>
        <c:crosses val="autoZero"/>
        <c:crossBetween val="midCat"/>
      </c:valAx>
      <c:valAx>
        <c:axId val="627070911"/>
        <c:scaling>
          <c:orientation val="minMax"/>
          <c:max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60831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perda NH3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Caso8!$D$4:$D$45</c:f>
              <c:numCache>
                <c:formatCode>General</c:formatCode>
                <c:ptCount val="42"/>
                <c:pt idx="0">
                  <c:v>0.5</c:v>
                </c:pt>
                <c:pt idx="1">
                  <c:v>2</c:v>
                </c:pt>
                <c:pt idx="2">
                  <c:v>2.1</c:v>
                </c:pt>
                <c:pt idx="3">
                  <c:v>2.2000000000000002</c:v>
                </c:pt>
                <c:pt idx="4">
                  <c:v>2.2999999999999998</c:v>
                </c:pt>
                <c:pt idx="5">
                  <c:v>2.4</c:v>
                </c:pt>
                <c:pt idx="6">
                  <c:v>2.5</c:v>
                </c:pt>
                <c:pt idx="7">
                  <c:v>2.6</c:v>
                </c:pt>
                <c:pt idx="8">
                  <c:v>2.7</c:v>
                </c:pt>
                <c:pt idx="9">
                  <c:v>2.8</c:v>
                </c:pt>
                <c:pt idx="10">
                  <c:v>2.9</c:v>
                </c:pt>
                <c:pt idx="11">
                  <c:v>3</c:v>
                </c:pt>
                <c:pt idx="12">
                  <c:v>3.1</c:v>
                </c:pt>
                <c:pt idx="13">
                  <c:v>3.2</c:v>
                </c:pt>
                <c:pt idx="14">
                  <c:v>3.3</c:v>
                </c:pt>
                <c:pt idx="15">
                  <c:v>3.4</c:v>
                </c:pt>
                <c:pt idx="16">
                  <c:v>3.5</c:v>
                </c:pt>
                <c:pt idx="17">
                  <c:v>3.6</c:v>
                </c:pt>
                <c:pt idx="18">
                  <c:v>3.7</c:v>
                </c:pt>
                <c:pt idx="19">
                  <c:v>3.8</c:v>
                </c:pt>
                <c:pt idx="20">
                  <c:v>3.9</c:v>
                </c:pt>
                <c:pt idx="21">
                  <c:v>4</c:v>
                </c:pt>
                <c:pt idx="22">
                  <c:v>4.0999999999999996</c:v>
                </c:pt>
                <c:pt idx="23">
                  <c:v>4.2</c:v>
                </c:pt>
                <c:pt idx="24">
                  <c:v>4.3</c:v>
                </c:pt>
                <c:pt idx="25">
                  <c:v>4.4000000000000004</c:v>
                </c:pt>
                <c:pt idx="26">
                  <c:v>4.5</c:v>
                </c:pt>
                <c:pt idx="27">
                  <c:v>4.5999999999999996</c:v>
                </c:pt>
                <c:pt idx="28">
                  <c:v>4.7</c:v>
                </c:pt>
                <c:pt idx="29">
                  <c:v>4.8</c:v>
                </c:pt>
                <c:pt idx="30">
                  <c:v>4.9000000000000004</c:v>
                </c:pt>
                <c:pt idx="31">
                  <c:v>5</c:v>
                </c:pt>
                <c:pt idx="32">
                  <c:v>5.0999999999999996</c:v>
                </c:pt>
                <c:pt idx="33">
                  <c:v>5.2</c:v>
                </c:pt>
                <c:pt idx="34">
                  <c:v>5.3</c:v>
                </c:pt>
                <c:pt idx="35">
                  <c:v>5.4</c:v>
                </c:pt>
                <c:pt idx="36">
                  <c:v>5.5</c:v>
                </c:pt>
                <c:pt idx="37">
                  <c:v>5.6</c:v>
                </c:pt>
                <c:pt idx="38">
                  <c:v>5.7</c:v>
                </c:pt>
                <c:pt idx="39">
                  <c:v>5.8</c:v>
                </c:pt>
                <c:pt idx="40">
                  <c:v>5.9</c:v>
                </c:pt>
                <c:pt idx="41">
                  <c:v>6</c:v>
                </c:pt>
              </c:numCache>
            </c:numRef>
          </c:xVal>
          <c:yVal>
            <c:numRef>
              <c:f>Caso8!$T$4:$T$45</c:f>
              <c:numCache>
                <c:formatCode>0.00</c:formatCode>
                <c:ptCount val="42"/>
                <c:pt idx="0">
                  <c:v>3.8698223644444444E-4</c:v>
                </c:pt>
                <c:pt idx="1">
                  <c:v>4.2577388800000003E-4</c:v>
                </c:pt>
                <c:pt idx="2">
                  <c:v>6.4181225066666664E-4</c:v>
                </c:pt>
                <c:pt idx="3">
                  <c:v>8.824531226666667E-4</c:v>
                </c:pt>
                <c:pt idx="4">
                  <c:v>1.1530910933333332E-3</c:v>
                </c:pt>
                <c:pt idx="5">
                  <c:v>1.4611697777777777E-3</c:v>
                </c:pt>
                <c:pt idx="6">
                  <c:v>1.8159702222222223E-3</c:v>
                </c:pt>
                <c:pt idx="7">
                  <c:v>2.2291634755555556E-3</c:v>
                </c:pt>
                <c:pt idx="8">
                  <c:v>0.93537044444444439</c:v>
                </c:pt>
                <c:pt idx="9">
                  <c:v>4.775226906666667</c:v>
                </c:pt>
                <c:pt idx="10">
                  <c:v>10.0789768</c:v>
                </c:pt>
                <c:pt idx="11">
                  <c:v>15.814009066666669</c:v>
                </c:pt>
                <c:pt idx="12">
                  <c:v>21.646747288888889</c:v>
                </c:pt>
                <c:pt idx="13">
                  <c:v>27.473715377777779</c:v>
                </c:pt>
                <c:pt idx="14">
                  <c:v>33.268396266666663</c:v>
                </c:pt>
                <c:pt idx="15">
                  <c:v>39.070166488888887</c:v>
                </c:pt>
                <c:pt idx="16">
                  <c:v>44.958400622222221</c:v>
                </c:pt>
                <c:pt idx="17">
                  <c:v>50.837038044444441</c:v>
                </c:pt>
                <c:pt idx="18">
                  <c:v>56.526441066666663</c:v>
                </c:pt>
                <c:pt idx="19">
                  <c:v>61.919257155555556</c:v>
                </c:pt>
                <c:pt idx="20">
                  <c:v>66.950944800000002</c:v>
                </c:pt>
                <c:pt idx="21">
                  <c:v>71.577393333333333</c:v>
                </c:pt>
                <c:pt idx="22">
                  <c:v>75.770679733333338</c:v>
                </c:pt>
                <c:pt idx="23">
                  <c:v>79.517400177777773</c:v>
                </c:pt>
                <c:pt idx="24">
                  <c:v>82.818857333333341</c:v>
                </c:pt>
                <c:pt idx="25">
                  <c:v>85.689631644444432</c:v>
                </c:pt>
                <c:pt idx="26">
                  <c:v>88.155265866666682</c:v>
                </c:pt>
                <c:pt idx="27">
                  <c:v>90.249283555555564</c:v>
                </c:pt>
                <c:pt idx="28">
                  <c:v>92.01002044444445</c:v>
                </c:pt>
                <c:pt idx="29">
                  <c:v>93.47771111111112</c:v>
                </c:pt>
                <c:pt idx="30">
                  <c:v>94.692093333333332</c:v>
                </c:pt>
                <c:pt idx="31">
                  <c:v>95.690684444444443</c:v>
                </c:pt>
                <c:pt idx="32">
                  <c:v>96.507678222222225</c:v>
                </c:pt>
                <c:pt idx="33">
                  <c:v>97.173394666666667</c:v>
                </c:pt>
                <c:pt idx="34">
                  <c:v>97.714134222222214</c:v>
                </c:pt>
                <c:pt idx="35">
                  <c:v>98.152319111111112</c:v>
                </c:pt>
                <c:pt idx="36">
                  <c:v>98.506793777777787</c:v>
                </c:pt>
                <c:pt idx="37">
                  <c:v>98.793230222222221</c:v>
                </c:pt>
                <c:pt idx="38">
                  <c:v>99.024539555555563</c:v>
                </c:pt>
                <c:pt idx="39">
                  <c:v>99.211289777777779</c:v>
                </c:pt>
                <c:pt idx="40">
                  <c:v>99.362083555555543</c:v>
                </c:pt>
                <c:pt idx="41">
                  <c:v>99.483894222222219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AC-4F27-A599-A2DE8593B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31071"/>
        <c:axId val="627048351"/>
      </c:scatterChart>
      <c:valAx>
        <c:axId val="627031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48351"/>
        <c:crosses val="autoZero"/>
        <c:crossBetween val="midCat"/>
      </c:valAx>
      <c:valAx>
        <c:axId val="627048351"/>
        <c:scaling>
          <c:orientation val="minMax"/>
          <c:max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31071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T topo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Caso8!$D$4:$D$45</c:f>
              <c:numCache>
                <c:formatCode>General</c:formatCode>
                <c:ptCount val="42"/>
                <c:pt idx="0">
                  <c:v>0.5</c:v>
                </c:pt>
                <c:pt idx="1">
                  <c:v>2</c:v>
                </c:pt>
                <c:pt idx="2">
                  <c:v>2.1</c:v>
                </c:pt>
                <c:pt idx="3">
                  <c:v>2.2000000000000002</c:v>
                </c:pt>
                <c:pt idx="4">
                  <c:v>2.2999999999999998</c:v>
                </c:pt>
                <c:pt idx="5">
                  <c:v>2.4</c:v>
                </c:pt>
                <c:pt idx="6">
                  <c:v>2.5</c:v>
                </c:pt>
                <c:pt idx="7">
                  <c:v>2.6</c:v>
                </c:pt>
                <c:pt idx="8">
                  <c:v>2.7</c:v>
                </c:pt>
                <c:pt idx="9">
                  <c:v>2.8</c:v>
                </c:pt>
                <c:pt idx="10">
                  <c:v>2.9</c:v>
                </c:pt>
                <c:pt idx="11">
                  <c:v>3</c:v>
                </c:pt>
                <c:pt idx="12">
                  <c:v>3.1</c:v>
                </c:pt>
                <c:pt idx="13">
                  <c:v>3.2</c:v>
                </c:pt>
                <c:pt idx="14">
                  <c:v>3.3</c:v>
                </c:pt>
                <c:pt idx="15">
                  <c:v>3.4</c:v>
                </c:pt>
                <c:pt idx="16">
                  <c:v>3.5</c:v>
                </c:pt>
                <c:pt idx="17">
                  <c:v>3.6</c:v>
                </c:pt>
                <c:pt idx="18">
                  <c:v>3.7</c:v>
                </c:pt>
                <c:pt idx="19">
                  <c:v>3.8</c:v>
                </c:pt>
                <c:pt idx="20">
                  <c:v>3.9</c:v>
                </c:pt>
                <c:pt idx="21">
                  <c:v>4</c:v>
                </c:pt>
                <c:pt idx="22">
                  <c:v>4.0999999999999996</c:v>
                </c:pt>
                <c:pt idx="23">
                  <c:v>4.2</c:v>
                </c:pt>
                <c:pt idx="24">
                  <c:v>4.3</c:v>
                </c:pt>
                <c:pt idx="25">
                  <c:v>4.4000000000000004</c:v>
                </c:pt>
                <c:pt idx="26">
                  <c:v>4.5</c:v>
                </c:pt>
                <c:pt idx="27">
                  <c:v>4.5999999999999996</c:v>
                </c:pt>
                <c:pt idx="28">
                  <c:v>4.7</c:v>
                </c:pt>
                <c:pt idx="29">
                  <c:v>4.8</c:v>
                </c:pt>
                <c:pt idx="30">
                  <c:v>4.9000000000000004</c:v>
                </c:pt>
                <c:pt idx="31">
                  <c:v>5</c:v>
                </c:pt>
                <c:pt idx="32">
                  <c:v>5.0999999999999996</c:v>
                </c:pt>
                <c:pt idx="33">
                  <c:v>5.2</c:v>
                </c:pt>
                <c:pt idx="34">
                  <c:v>5.3</c:v>
                </c:pt>
                <c:pt idx="35">
                  <c:v>5.4</c:v>
                </c:pt>
                <c:pt idx="36">
                  <c:v>5.5</c:v>
                </c:pt>
                <c:pt idx="37">
                  <c:v>5.6</c:v>
                </c:pt>
                <c:pt idx="38">
                  <c:v>5.7</c:v>
                </c:pt>
                <c:pt idx="39">
                  <c:v>5.8</c:v>
                </c:pt>
                <c:pt idx="40">
                  <c:v>5.9</c:v>
                </c:pt>
                <c:pt idx="41">
                  <c:v>6</c:v>
                </c:pt>
              </c:numCache>
            </c:numRef>
          </c:xVal>
          <c:yVal>
            <c:numRef>
              <c:f>Caso8!$F$4:$F$45</c:f>
              <c:numCache>
                <c:formatCode>General</c:formatCode>
                <c:ptCount val="42"/>
                <c:pt idx="0">
                  <c:v>84.874013899999994</c:v>
                </c:pt>
                <c:pt idx="1">
                  <c:v>60.094490399999998</c:v>
                </c:pt>
                <c:pt idx="2">
                  <c:v>60.140798500000002</c:v>
                </c:pt>
                <c:pt idx="3">
                  <c:v>60.187173399999999</c:v>
                </c:pt>
                <c:pt idx="4">
                  <c:v>60.237102899999996</c:v>
                </c:pt>
                <c:pt idx="5">
                  <c:v>60.2889579</c:v>
                </c:pt>
                <c:pt idx="6">
                  <c:v>60.343701799999998</c:v>
                </c:pt>
                <c:pt idx="7">
                  <c:v>60.401673099999996</c:v>
                </c:pt>
                <c:pt idx="8">
                  <c:v>61.1327207</c:v>
                </c:pt>
                <c:pt idx="9">
                  <c:v>62.065180699999999</c:v>
                </c:pt>
                <c:pt idx="10">
                  <c:v>63.861530199999997</c:v>
                </c:pt>
                <c:pt idx="11">
                  <c:v>67.641887199999999</c:v>
                </c:pt>
                <c:pt idx="12">
                  <c:v>75.093207100000001</c:v>
                </c:pt>
                <c:pt idx="13">
                  <c:v>87.592223500000003</c:v>
                </c:pt>
                <c:pt idx="14">
                  <c:v>104.96623200000001</c:v>
                </c:pt>
                <c:pt idx="15">
                  <c:v>125.11940300000001</c:v>
                </c:pt>
                <c:pt idx="16">
                  <c:v>141.22280900000001</c:v>
                </c:pt>
                <c:pt idx="17">
                  <c:v>149.724638</c:v>
                </c:pt>
                <c:pt idx="18">
                  <c:v>153.98410100000001</c:v>
                </c:pt>
                <c:pt idx="19">
                  <c:v>156.39144400000001</c:v>
                </c:pt>
                <c:pt idx="20">
                  <c:v>157.91577899999999</c:v>
                </c:pt>
                <c:pt idx="21">
                  <c:v>158.96643499999999</c:v>
                </c:pt>
                <c:pt idx="22">
                  <c:v>159.73745500000001</c:v>
                </c:pt>
                <c:pt idx="23">
                  <c:v>160.33070900000001</c:v>
                </c:pt>
                <c:pt idx="24">
                  <c:v>160.80408499999999</c:v>
                </c:pt>
                <c:pt idx="25">
                  <c:v>161.192612</c:v>
                </c:pt>
                <c:pt idx="26">
                  <c:v>161.51859400000001</c:v>
                </c:pt>
                <c:pt idx="27">
                  <c:v>161.796854</c:v>
                </c:pt>
                <c:pt idx="28">
                  <c:v>162.03762499999999</c:v>
                </c:pt>
                <c:pt idx="29">
                  <c:v>162.24821900000001</c:v>
                </c:pt>
                <c:pt idx="30">
                  <c:v>162.43402900000001</c:v>
                </c:pt>
                <c:pt idx="31">
                  <c:v>162.59914599999999</c:v>
                </c:pt>
                <c:pt idx="32">
                  <c:v>162.746759</c:v>
                </c:pt>
                <c:pt idx="33">
                  <c:v>162.87940399999999</c:v>
                </c:pt>
                <c:pt idx="34">
                  <c:v>162.99914000000001</c:v>
                </c:pt>
                <c:pt idx="35">
                  <c:v>163.107662</c:v>
                </c:pt>
                <c:pt idx="36">
                  <c:v>163.20638400000001</c:v>
                </c:pt>
                <c:pt idx="37">
                  <c:v>163.29649900000001</c:v>
                </c:pt>
                <c:pt idx="38">
                  <c:v>163.379019</c:v>
                </c:pt>
                <c:pt idx="39">
                  <c:v>163.45481100000001</c:v>
                </c:pt>
                <c:pt idx="40">
                  <c:v>163.524619</c:v>
                </c:pt>
                <c:pt idx="41">
                  <c:v>163.589088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E7-42AA-BF4C-9F1EEAC77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1303039"/>
        <c:axId val="1651314559"/>
      </c:scatterChart>
      <c:valAx>
        <c:axId val="1651303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14559"/>
        <c:crosses val="autoZero"/>
        <c:crossBetween val="midCat"/>
      </c:valAx>
      <c:valAx>
        <c:axId val="165131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0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T fundo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Caso8!$D$4:$D$45</c:f>
              <c:numCache>
                <c:formatCode>General</c:formatCode>
                <c:ptCount val="42"/>
                <c:pt idx="0">
                  <c:v>0.5</c:v>
                </c:pt>
                <c:pt idx="1">
                  <c:v>2</c:v>
                </c:pt>
                <c:pt idx="2">
                  <c:v>2.1</c:v>
                </c:pt>
                <c:pt idx="3">
                  <c:v>2.2000000000000002</c:v>
                </c:pt>
                <c:pt idx="4">
                  <c:v>2.2999999999999998</c:v>
                </c:pt>
                <c:pt idx="5">
                  <c:v>2.4</c:v>
                </c:pt>
                <c:pt idx="6">
                  <c:v>2.5</c:v>
                </c:pt>
                <c:pt idx="7">
                  <c:v>2.6</c:v>
                </c:pt>
                <c:pt idx="8">
                  <c:v>2.7</c:v>
                </c:pt>
                <c:pt idx="9">
                  <c:v>2.8</c:v>
                </c:pt>
                <c:pt idx="10">
                  <c:v>2.9</c:v>
                </c:pt>
                <c:pt idx="11">
                  <c:v>3</c:v>
                </c:pt>
                <c:pt idx="12">
                  <c:v>3.1</c:v>
                </c:pt>
                <c:pt idx="13">
                  <c:v>3.2</c:v>
                </c:pt>
                <c:pt idx="14">
                  <c:v>3.3</c:v>
                </c:pt>
                <c:pt idx="15">
                  <c:v>3.4</c:v>
                </c:pt>
                <c:pt idx="16">
                  <c:v>3.5</c:v>
                </c:pt>
                <c:pt idx="17">
                  <c:v>3.6</c:v>
                </c:pt>
                <c:pt idx="18">
                  <c:v>3.7</c:v>
                </c:pt>
                <c:pt idx="19">
                  <c:v>3.8</c:v>
                </c:pt>
                <c:pt idx="20">
                  <c:v>3.9</c:v>
                </c:pt>
                <c:pt idx="21">
                  <c:v>4</c:v>
                </c:pt>
                <c:pt idx="22">
                  <c:v>4.0999999999999996</c:v>
                </c:pt>
                <c:pt idx="23">
                  <c:v>4.2</c:v>
                </c:pt>
                <c:pt idx="24">
                  <c:v>4.3</c:v>
                </c:pt>
                <c:pt idx="25">
                  <c:v>4.4000000000000004</c:v>
                </c:pt>
                <c:pt idx="26">
                  <c:v>4.5</c:v>
                </c:pt>
                <c:pt idx="27">
                  <c:v>4.5999999999999996</c:v>
                </c:pt>
                <c:pt idx="28">
                  <c:v>4.7</c:v>
                </c:pt>
                <c:pt idx="29">
                  <c:v>4.8</c:v>
                </c:pt>
                <c:pt idx="30">
                  <c:v>4.9000000000000004</c:v>
                </c:pt>
                <c:pt idx="31">
                  <c:v>5</c:v>
                </c:pt>
                <c:pt idx="32">
                  <c:v>5.0999999999999996</c:v>
                </c:pt>
                <c:pt idx="33">
                  <c:v>5.2</c:v>
                </c:pt>
                <c:pt idx="34">
                  <c:v>5.3</c:v>
                </c:pt>
                <c:pt idx="35">
                  <c:v>5.4</c:v>
                </c:pt>
                <c:pt idx="36">
                  <c:v>5.5</c:v>
                </c:pt>
                <c:pt idx="37">
                  <c:v>5.6</c:v>
                </c:pt>
                <c:pt idx="38">
                  <c:v>5.7</c:v>
                </c:pt>
                <c:pt idx="39">
                  <c:v>5.8</c:v>
                </c:pt>
                <c:pt idx="40">
                  <c:v>5.9</c:v>
                </c:pt>
                <c:pt idx="41">
                  <c:v>6</c:v>
                </c:pt>
              </c:numCache>
            </c:numRef>
          </c:xVal>
          <c:yVal>
            <c:numRef>
              <c:f>Caso8!$E$4:$E$45</c:f>
              <c:numCache>
                <c:formatCode>General</c:formatCode>
                <c:ptCount val="42"/>
                <c:pt idx="0">
                  <c:v>132.352383</c:v>
                </c:pt>
                <c:pt idx="1">
                  <c:v>155.665695</c:v>
                </c:pt>
                <c:pt idx="2">
                  <c:v>157.28473299999999</c:v>
                </c:pt>
                <c:pt idx="3">
                  <c:v>158.89960600000001</c:v>
                </c:pt>
                <c:pt idx="4">
                  <c:v>160.511301</c:v>
                </c:pt>
                <c:pt idx="5">
                  <c:v>162.11949100000001</c:v>
                </c:pt>
                <c:pt idx="6">
                  <c:v>163.723973</c:v>
                </c:pt>
                <c:pt idx="7">
                  <c:v>165.32493500000001</c:v>
                </c:pt>
                <c:pt idx="8">
                  <c:v>165.921964</c:v>
                </c:pt>
                <c:pt idx="9">
                  <c:v>165.94473500000001</c:v>
                </c:pt>
                <c:pt idx="10">
                  <c:v>165.97619599999999</c:v>
                </c:pt>
                <c:pt idx="11">
                  <c:v>166.010209</c:v>
                </c:pt>
                <c:pt idx="12">
                  <c:v>166.04478700000001</c:v>
                </c:pt>
                <c:pt idx="13">
                  <c:v>166.07930200000001</c:v>
                </c:pt>
                <c:pt idx="14">
                  <c:v>166.11356000000001</c:v>
                </c:pt>
                <c:pt idx="15">
                  <c:v>166.147695</c:v>
                </c:pt>
                <c:pt idx="16">
                  <c:v>166.182062</c:v>
                </c:pt>
                <c:pt idx="17">
                  <c:v>166.216239</c:v>
                </c:pt>
                <c:pt idx="18">
                  <c:v>166.24937199999999</c:v>
                </c:pt>
                <c:pt idx="19">
                  <c:v>166.28089800000001</c:v>
                </c:pt>
                <c:pt idx="20">
                  <c:v>166.31044399999999</c:v>
                </c:pt>
                <c:pt idx="21">
                  <c:v>166.33773500000001</c:v>
                </c:pt>
                <c:pt idx="22">
                  <c:v>166.362585</c:v>
                </c:pt>
                <c:pt idx="23">
                  <c:v>166.38488699999999</c:v>
                </c:pt>
                <c:pt idx="24">
                  <c:v>166.40462600000001</c:v>
                </c:pt>
                <c:pt idx="25">
                  <c:v>166.421864</c:v>
                </c:pt>
                <c:pt idx="26">
                  <c:v>166.43673200000001</c:v>
                </c:pt>
                <c:pt idx="27">
                  <c:v>166.449411</c:v>
                </c:pt>
                <c:pt idx="28">
                  <c:v>166.460116</c:v>
                </c:pt>
                <c:pt idx="29">
                  <c:v>166.469076</c:v>
                </c:pt>
                <c:pt idx="30">
                  <c:v>166.476518</c:v>
                </c:pt>
                <c:pt idx="31">
                  <c:v>166.482662</c:v>
                </c:pt>
                <c:pt idx="32">
                  <c:v>166.487709</c:v>
                </c:pt>
                <c:pt idx="33">
                  <c:v>166.491837</c:v>
                </c:pt>
                <c:pt idx="34">
                  <c:v>166.495204</c:v>
                </c:pt>
                <c:pt idx="35">
                  <c:v>166.49794199999999</c:v>
                </c:pt>
                <c:pt idx="36">
                  <c:v>166.50016600000001</c:v>
                </c:pt>
                <c:pt idx="37">
                  <c:v>166.50197</c:v>
                </c:pt>
                <c:pt idx="38">
                  <c:v>166.503432</c:v>
                </c:pt>
                <c:pt idx="39">
                  <c:v>166.504617</c:v>
                </c:pt>
                <c:pt idx="40">
                  <c:v>166.50557800000001</c:v>
                </c:pt>
                <c:pt idx="41">
                  <c:v>166.50635700000001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62-4637-AAE2-B7E6CE6E8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015039"/>
        <c:axId val="2116015999"/>
      </c:scatterChart>
      <c:valAx>
        <c:axId val="2116015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15999"/>
        <c:crosses val="autoZero"/>
        <c:crossBetween val="midCat"/>
      </c:valAx>
      <c:valAx>
        <c:axId val="211601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15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recuperação H2S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Caso9!$D$4:$D$45</c:f>
              <c:numCache>
                <c:formatCode>General</c:formatCode>
                <c:ptCount val="42"/>
                <c:pt idx="0">
                  <c:v>0.5</c:v>
                </c:pt>
                <c:pt idx="1">
                  <c:v>2</c:v>
                </c:pt>
                <c:pt idx="2">
                  <c:v>2.1</c:v>
                </c:pt>
                <c:pt idx="3">
                  <c:v>2.2000000000000002</c:v>
                </c:pt>
                <c:pt idx="4">
                  <c:v>2.2999999999999998</c:v>
                </c:pt>
                <c:pt idx="5">
                  <c:v>2.4</c:v>
                </c:pt>
                <c:pt idx="6">
                  <c:v>2.5</c:v>
                </c:pt>
                <c:pt idx="7">
                  <c:v>2.6</c:v>
                </c:pt>
                <c:pt idx="8">
                  <c:v>2.7</c:v>
                </c:pt>
                <c:pt idx="9">
                  <c:v>2.8</c:v>
                </c:pt>
                <c:pt idx="10">
                  <c:v>2.9</c:v>
                </c:pt>
                <c:pt idx="11">
                  <c:v>3</c:v>
                </c:pt>
                <c:pt idx="12">
                  <c:v>3.1</c:v>
                </c:pt>
                <c:pt idx="13">
                  <c:v>3.2</c:v>
                </c:pt>
                <c:pt idx="14">
                  <c:v>3.3</c:v>
                </c:pt>
                <c:pt idx="15">
                  <c:v>3.4</c:v>
                </c:pt>
                <c:pt idx="16">
                  <c:v>3.5</c:v>
                </c:pt>
                <c:pt idx="17">
                  <c:v>3.6</c:v>
                </c:pt>
                <c:pt idx="18">
                  <c:v>3.7</c:v>
                </c:pt>
                <c:pt idx="19">
                  <c:v>3.8</c:v>
                </c:pt>
                <c:pt idx="20">
                  <c:v>3.9</c:v>
                </c:pt>
                <c:pt idx="21">
                  <c:v>4</c:v>
                </c:pt>
                <c:pt idx="22">
                  <c:v>4.0999999999999996</c:v>
                </c:pt>
                <c:pt idx="23">
                  <c:v>4.2</c:v>
                </c:pt>
                <c:pt idx="24">
                  <c:v>4.3</c:v>
                </c:pt>
                <c:pt idx="25">
                  <c:v>4.4000000000000004</c:v>
                </c:pt>
                <c:pt idx="26">
                  <c:v>4.5</c:v>
                </c:pt>
                <c:pt idx="27">
                  <c:v>4.5999999999999996</c:v>
                </c:pt>
                <c:pt idx="28">
                  <c:v>4.7</c:v>
                </c:pt>
                <c:pt idx="29">
                  <c:v>4.8</c:v>
                </c:pt>
                <c:pt idx="30">
                  <c:v>4.9000000000000004</c:v>
                </c:pt>
                <c:pt idx="31">
                  <c:v>5</c:v>
                </c:pt>
                <c:pt idx="32">
                  <c:v>5.0999999999999996</c:v>
                </c:pt>
                <c:pt idx="33">
                  <c:v>5.2</c:v>
                </c:pt>
                <c:pt idx="34">
                  <c:v>5.3</c:v>
                </c:pt>
                <c:pt idx="35">
                  <c:v>5.4</c:v>
                </c:pt>
                <c:pt idx="36">
                  <c:v>5.5</c:v>
                </c:pt>
                <c:pt idx="37">
                  <c:v>5.6</c:v>
                </c:pt>
                <c:pt idx="38">
                  <c:v>5.7</c:v>
                </c:pt>
                <c:pt idx="39">
                  <c:v>5.8</c:v>
                </c:pt>
                <c:pt idx="40">
                  <c:v>5.9</c:v>
                </c:pt>
                <c:pt idx="41">
                  <c:v>6</c:v>
                </c:pt>
              </c:numCache>
            </c:numRef>
          </c:xVal>
          <c:yVal>
            <c:numRef>
              <c:f>Caso9!$S$4:$S$45</c:f>
              <c:numCache>
                <c:formatCode>0.00</c:formatCode>
                <c:ptCount val="42"/>
                <c:pt idx="0">
                  <c:v>4.2889713028571425E-6</c:v>
                </c:pt>
                <c:pt idx="1">
                  <c:v>41.239899657142857</c:v>
                </c:pt>
                <c:pt idx="2">
                  <c:v>49.314720742857148</c:v>
                </c:pt>
                <c:pt idx="3">
                  <c:v>57.727595999999998</c:v>
                </c:pt>
                <c:pt idx="4">
                  <c:v>66.471054285714288</c:v>
                </c:pt>
                <c:pt idx="5">
                  <c:v>75.556523428571438</c:v>
                </c:pt>
                <c:pt idx="6">
                  <c:v>84.991186857142864</c:v>
                </c:pt>
                <c:pt idx="7">
                  <c:v>94.782069142857139</c:v>
                </c:pt>
                <c:pt idx="8">
                  <c:v>100.00000171428572</c:v>
                </c:pt>
                <c:pt idx="9">
                  <c:v>100.00000114285713</c:v>
                </c:pt>
                <c:pt idx="10">
                  <c:v>99.999990285714276</c:v>
                </c:pt>
                <c:pt idx="11">
                  <c:v>99.999995999999996</c:v>
                </c:pt>
                <c:pt idx="12">
                  <c:v>99.999999428571428</c:v>
                </c:pt>
                <c:pt idx="13">
                  <c:v>100.00000057142857</c:v>
                </c:pt>
                <c:pt idx="14">
                  <c:v>100.0000102857143</c:v>
                </c:pt>
                <c:pt idx="15">
                  <c:v>100.00000114285713</c:v>
                </c:pt>
                <c:pt idx="16">
                  <c:v>99.999960000000016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99.999994857142866</c:v>
                </c:pt>
                <c:pt idx="21">
                  <c:v>99.999998285714284</c:v>
                </c:pt>
                <c:pt idx="22">
                  <c:v>99.999999428571428</c:v>
                </c:pt>
                <c:pt idx="23">
                  <c:v>99.999999428571428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97-4AD7-87E9-5DBC37661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60831"/>
        <c:axId val="627070911"/>
      </c:scatterChart>
      <c:valAx>
        <c:axId val="62706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70911"/>
        <c:crosses val="autoZero"/>
        <c:crossBetween val="midCat"/>
      </c:valAx>
      <c:valAx>
        <c:axId val="627070911"/>
        <c:scaling>
          <c:orientation val="minMax"/>
          <c:max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60831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perda NH3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Caso9!$D$4:$D$45</c:f>
              <c:numCache>
                <c:formatCode>General</c:formatCode>
                <c:ptCount val="42"/>
                <c:pt idx="0">
                  <c:v>0.5</c:v>
                </c:pt>
                <c:pt idx="1">
                  <c:v>2</c:v>
                </c:pt>
                <c:pt idx="2">
                  <c:v>2.1</c:v>
                </c:pt>
                <c:pt idx="3">
                  <c:v>2.2000000000000002</c:v>
                </c:pt>
                <c:pt idx="4">
                  <c:v>2.2999999999999998</c:v>
                </c:pt>
                <c:pt idx="5">
                  <c:v>2.4</c:v>
                </c:pt>
                <c:pt idx="6">
                  <c:v>2.5</c:v>
                </c:pt>
                <c:pt idx="7">
                  <c:v>2.6</c:v>
                </c:pt>
                <c:pt idx="8">
                  <c:v>2.7</c:v>
                </c:pt>
                <c:pt idx="9">
                  <c:v>2.8</c:v>
                </c:pt>
                <c:pt idx="10">
                  <c:v>2.9</c:v>
                </c:pt>
                <c:pt idx="11">
                  <c:v>3</c:v>
                </c:pt>
                <c:pt idx="12">
                  <c:v>3.1</c:v>
                </c:pt>
                <c:pt idx="13">
                  <c:v>3.2</c:v>
                </c:pt>
                <c:pt idx="14">
                  <c:v>3.3</c:v>
                </c:pt>
                <c:pt idx="15">
                  <c:v>3.4</c:v>
                </c:pt>
                <c:pt idx="16">
                  <c:v>3.5</c:v>
                </c:pt>
                <c:pt idx="17">
                  <c:v>3.6</c:v>
                </c:pt>
                <c:pt idx="18">
                  <c:v>3.7</c:v>
                </c:pt>
                <c:pt idx="19">
                  <c:v>3.8</c:v>
                </c:pt>
                <c:pt idx="20">
                  <c:v>3.9</c:v>
                </c:pt>
                <c:pt idx="21">
                  <c:v>4</c:v>
                </c:pt>
                <c:pt idx="22">
                  <c:v>4.0999999999999996</c:v>
                </c:pt>
                <c:pt idx="23">
                  <c:v>4.2</c:v>
                </c:pt>
                <c:pt idx="24">
                  <c:v>4.3</c:v>
                </c:pt>
                <c:pt idx="25">
                  <c:v>4.4000000000000004</c:v>
                </c:pt>
                <c:pt idx="26">
                  <c:v>4.5</c:v>
                </c:pt>
                <c:pt idx="27">
                  <c:v>4.5999999999999996</c:v>
                </c:pt>
                <c:pt idx="28">
                  <c:v>4.7</c:v>
                </c:pt>
                <c:pt idx="29">
                  <c:v>4.8</c:v>
                </c:pt>
                <c:pt idx="30">
                  <c:v>4.9000000000000004</c:v>
                </c:pt>
                <c:pt idx="31">
                  <c:v>5</c:v>
                </c:pt>
                <c:pt idx="32">
                  <c:v>5.0999999999999996</c:v>
                </c:pt>
                <c:pt idx="33">
                  <c:v>5.2</c:v>
                </c:pt>
                <c:pt idx="34">
                  <c:v>5.3</c:v>
                </c:pt>
                <c:pt idx="35">
                  <c:v>5.4</c:v>
                </c:pt>
                <c:pt idx="36">
                  <c:v>5.5</c:v>
                </c:pt>
                <c:pt idx="37">
                  <c:v>5.6</c:v>
                </c:pt>
                <c:pt idx="38">
                  <c:v>5.7</c:v>
                </c:pt>
                <c:pt idx="39">
                  <c:v>5.8</c:v>
                </c:pt>
                <c:pt idx="40">
                  <c:v>5.9</c:v>
                </c:pt>
                <c:pt idx="41">
                  <c:v>6</c:v>
                </c:pt>
              </c:numCache>
            </c:numRef>
          </c:xVal>
          <c:yVal>
            <c:numRef>
              <c:f>Caso9!$T$4:$T$45</c:f>
              <c:numCache>
                <c:formatCode>0.00</c:formatCode>
                <c:ptCount val="42"/>
                <c:pt idx="0">
                  <c:v>4.3854183066666672E-3</c:v>
                </c:pt>
                <c:pt idx="1">
                  <c:v>1.5357476399999999E-3</c:v>
                </c:pt>
                <c:pt idx="2">
                  <c:v>1.8860277333333331E-3</c:v>
                </c:pt>
                <c:pt idx="3">
                  <c:v>2.2765907999999996E-3</c:v>
                </c:pt>
                <c:pt idx="4">
                  <c:v>2.7151170399999998E-3</c:v>
                </c:pt>
                <c:pt idx="5">
                  <c:v>3.2120691866666671E-3</c:v>
                </c:pt>
                <c:pt idx="6">
                  <c:v>3.7800853733333329E-3</c:v>
                </c:pt>
                <c:pt idx="7">
                  <c:v>4.4346272533333335E-3</c:v>
                </c:pt>
                <c:pt idx="8">
                  <c:v>0.65470927066666673</c:v>
                </c:pt>
                <c:pt idx="9">
                  <c:v>4.3557061866666666</c:v>
                </c:pt>
                <c:pt idx="10">
                  <c:v>9.7397052533333337</c:v>
                </c:pt>
                <c:pt idx="11">
                  <c:v>15.602758</c:v>
                </c:pt>
                <c:pt idx="12">
                  <c:v>21.564393066666668</c:v>
                </c:pt>
                <c:pt idx="13">
                  <c:v>27.507736399999999</c:v>
                </c:pt>
                <c:pt idx="14">
                  <c:v>33.398622400000001</c:v>
                </c:pt>
                <c:pt idx="15">
                  <c:v>39.276619199999999</c:v>
                </c:pt>
                <c:pt idx="16">
                  <c:v>45.250129333333327</c:v>
                </c:pt>
                <c:pt idx="17">
                  <c:v>51.213069466666667</c:v>
                </c:pt>
                <c:pt idx="18">
                  <c:v>56.959786133333324</c:v>
                </c:pt>
                <c:pt idx="19">
                  <c:v>62.3817016</c:v>
                </c:pt>
                <c:pt idx="20">
                  <c:v>67.417744133333343</c:v>
                </c:pt>
                <c:pt idx="21">
                  <c:v>72.028581333333335</c:v>
                </c:pt>
                <c:pt idx="22">
                  <c:v>76.190908533333342</c:v>
                </c:pt>
                <c:pt idx="23">
                  <c:v>79.896633333333327</c:v>
                </c:pt>
                <c:pt idx="24">
                  <c:v>83.151922400000004</c:v>
                </c:pt>
                <c:pt idx="25">
                  <c:v>85.975453599999994</c:v>
                </c:pt>
                <c:pt idx="26">
                  <c:v>88.395844800000006</c:v>
                </c:pt>
                <c:pt idx="27">
                  <c:v>90.44862586666666</c:v>
                </c:pt>
                <c:pt idx="28">
                  <c:v>92.173191066666675</c:v>
                </c:pt>
                <c:pt idx="29">
                  <c:v>93.61009</c:v>
                </c:pt>
                <c:pt idx="30">
                  <c:v>94.798874666666663</c:v>
                </c:pt>
                <c:pt idx="31">
                  <c:v>95.776573999999997</c:v>
                </c:pt>
                <c:pt idx="32">
                  <c:v>96.576757999999998</c:v>
                </c:pt>
                <c:pt idx="33">
                  <c:v>97.229093066666664</c:v>
                </c:pt>
                <c:pt idx="34">
                  <c:v>97.759264400000006</c:v>
                </c:pt>
                <c:pt idx="35">
                  <c:v>98.189146666666659</c:v>
                </c:pt>
                <c:pt idx="36">
                  <c:v>98.537123866666661</c:v>
                </c:pt>
                <c:pt idx="37">
                  <c:v>98.818483466666663</c:v>
                </c:pt>
                <c:pt idx="38">
                  <c:v>99.045830133333325</c:v>
                </c:pt>
                <c:pt idx="39">
                  <c:v>99.229486533333329</c:v>
                </c:pt>
                <c:pt idx="40">
                  <c:v>99.377862133333338</c:v>
                </c:pt>
                <c:pt idx="41">
                  <c:v>99.497779600000001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C8-4363-BEC5-972C4752C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31071"/>
        <c:axId val="627048351"/>
      </c:scatterChart>
      <c:valAx>
        <c:axId val="627031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48351"/>
        <c:crosses val="autoZero"/>
        <c:crossBetween val="midCat"/>
      </c:valAx>
      <c:valAx>
        <c:axId val="627048351"/>
        <c:scaling>
          <c:orientation val="minMax"/>
          <c:max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31071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T topo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Caso9!$D$4:$D$45</c:f>
              <c:numCache>
                <c:formatCode>General</c:formatCode>
                <c:ptCount val="42"/>
                <c:pt idx="0">
                  <c:v>0.5</c:v>
                </c:pt>
                <c:pt idx="1">
                  <c:v>2</c:v>
                </c:pt>
                <c:pt idx="2">
                  <c:v>2.1</c:v>
                </c:pt>
                <c:pt idx="3">
                  <c:v>2.2000000000000002</c:v>
                </c:pt>
                <c:pt idx="4">
                  <c:v>2.2999999999999998</c:v>
                </c:pt>
                <c:pt idx="5">
                  <c:v>2.4</c:v>
                </c:pt>
                <c:pt idx="6">
                  <c:v>2.5</c:v>
                </c:pt>
                <c:pt idx="7">
                  <c:v>2.6</c:v>
                </c:pt>
                <c:pt idx="8">
                  <c:v>2.7</c:v>
                </c:pt>
                <c:pt idx="9">
                  <c:v>2.8</c:v>
                </c:pt>
                <c:pt idx="10">
                  <c:v>2.9</c:v>
                </c:pt>
                <c:pt idx="11">
                  <c:v>3</c:v>
                </c:pt>
                <c:pt idx="12">
                  <c:v>3.1</c:v>
                </c:pt>
                <c:pt idx="13">
                  <c:v>3.2</c:v>
                </c:pt>
                <c:pt idx="14">
                  <c:v>3.3</c:v>
                </c:pt>
                <c:pt idx="15">
                  <c:v>3.4</c:v>
                </c:pt>
                <c:pt idx="16">
                  <c:v>3.5</c:v>
                </c:pt>
                <c:pt idx="17">
                  <c:v>3.6</c:v>
                </c:pt>
                <c:pt idx="18">
                  <c:v>3.7</c:v>
                </c:pt>
                <c:pt idx="19">
                  <c:v>3.8</c:v>
                </c:pt>
                <c:pt idx="20">
                  <c:v>3.9</c:v>
                </c:pt>
                <c:pt idx="21">
                  <c:v>4</c:v>
                </c:pt>
                <c:pt idx="22">
                  <c:v>4.0999999999999996</c:v>
                </c:pt>
                <c:pt idx="23">
                  <c:v>4.2</c:v>
                </c:pt>
                <c:pt idx="24">
                  <c:v>4.3</c:v>
                </c:pt>
                <c:pt idx="25">
                  <c:v>4.4000000000000004</c:v>
                </c:pt>
                <c:pt idx="26">
                  <c:v>4.5</c:v>
                </c:pt>
                <c:pt idx="27">
                  <c:v>4.5999999999999996</c:v>
                </c:pt>
                <c:pt idx="28">
                  <c:v>4.7</c:v>
                </c:pt>
                <c:pt idx="29">
                  <c:v>4.8</c:v>
                </c:pt>
                <c:pt idx="30">
                  <c:v>4.9000000000000004</c:v>
                </c:pt>
                <c:pt idx="31">
                  <c:v>5</c:v>
                </c:pt>
                <c:pt idx="32">
                  <c:v>5.0999999999999996</c:v>
                </c:pt>
                <c:pt idx="33">
                  <c:v>5.2</c:v>
                </c:pt>
                <c:pt idx="34">
                  <c:v>5.3</c:v>
                </c:pt>
                <c:pt idx="35">
                  <c:v>5.4</c:v>
                </c:pt>
                <c:pt idx="36">
                  <c:v>5.5</c:v>
                </c:pt>
                <c:pt idx="37">
                  <c:v>5.6</c:v>
                </c:pt>
                <c:pt idx="38">
                  <c:v>5.7</c:v>
                </c:pt>
                <c:pt idx="39">
                  <c:v>5.8</c:v>
                </c:pt>
                <c:pt idx="40">
                  <c:v>5.9</c:v>
                </c:pt>
                <c:pt idx="41">
                  <c:v>6</c:v>
                </c:pt>
              </c:numCache>
            </c:numRef>
          </c:xVal>
          <c:yVal>
            <c:numRef>
              <c:f>Caso9!$F$4:$F$45</c:f>
              <c:numCache>
                <c:formatCode>General</c:formatCode>
                <c:ptCount val="42"/>
                <c:pt idx="0">
                  <c:v>147.74961400000001</c:v>
                </c:pt>
                <c:pt idx="1">
                  <c:v>60.228039799999998</c:v>
                </c:pt>
                <c:pt idx="2">
                  <c:v>60.275081700000001</c:v>
                </c:pt>
                <c:pt idx="3">
                  <c:v>60.322707700000002</c:v>
                </c:pt>
                <c:pt idx="4">
                  <c:v>60.373633599999998</c:v>
                </c:pt>
                <c:pt idx="5">
                  <c:v>60.427214900000003</c:v>
                </c:pt>
                <c:pt idx="6">
                  <c:v>60.483374400000002</c:v>
                </c:pt>
                <c:pt idx="7">
                  <c:v>60.542750300000002</c:v>
                </c:pt>
                <c:pt idx="8">
                  <c:v>61.225959799999998</c:v>
                </c:pt>
                <c:pt idx="9">
                  <c:v>62.233038700000002</c:v>
                </c:pt>
                <c:pt idx="10">
                  <c:v>63.644201799999998</c:v>
                </c:pt>
                <c:pt idx="11">
                  <c:v>66.166904599999995</c:v>
                </c:pt>
                <c:pt idx="12">
                  <c:v>70.959438199999994</c:v>
                </c:pt>
                <c:pt idx="13">
                  <c:v>80.119719799999999</c:v>
                </c:pt>
                <c:pt idx="14">
                  <c:v>96.190377299999994</c:v>
                </c:pt>
                <c:pt idx="15">
                  <c:v>118.894988</c:v>
                </c:pt>
                <c:pt idx="16">
                  <c:v>138.67389399999999</c:v>
                </c:pt>
                <c:pt idx="17">
                  <c:v>148.729118</c:v>
                </c:pt>
                <c:pt idx="18">
                  <c:v>153.547788</c:v>
                </c:pt>
                <c:pt idx="19">
                  <c:v>156.209791</c:v>
                </c:pt>
                <c:pt idx="20">
                  <c:v>157.87184500000001</c:v>
                </c:pt>
                <c:pt idx="21">
                  <c:v>159.004277</c:v>
                </c:pt>
                <c:pt idx="22">
                  <c:v>159.82612499999999</c:v>
                </c:pt>
                <c:pt idx="23">
                  <c:v>160.45130800000001</c:v>
                </c:pt>
                <c:pt idx="24">
                  <c:v>160.94434100000001</c:v>
                </c:pt>
                <c:pt idx="25">
                  <c:v>161.34424999999999</c:v>
                </c:pt>
                <c:pt idx="26">
                  <c:v>161.67592400000001</c:v>
                </c:pt>
                <c:pt idx="27">
                  <c:v>161.95594399999999</c:v>
                </c:pt>
                <c:pt idx="28">
                  <c:v>162.19577799999999</c:v>
                </c:pt>
                <c:pt idx="29">
                  <c:v>162.40361899999999</c:v>
                </c:pt>
                <c:pt idx="30">
                  <c:v>162.58549500000001</c:v>
                </c:pt>
                <c:pt idx="31">
                  <c:v>162.74595400000001</c:v>
                </c:pt>
                <c:pt idx="32">
                  <c:v>162.888509</c:v>
                </c:pt>
                <c:pt idx="33">
                  <c:v>163.01592500000001</c:v>
                </c:pt>
                <c:pt idx="34">
                  <c:v>163.13041899999999</c:v>
                </c:pt>
                <c:pt idx="35">
                  <c:v>163.23379199999999</c:v>
                </c:pt>
                <c:pt idx="36">
                  <c:v>163.327527</c:v>
                </c:pt>
                <c:pt idx="37">
                  <c:v>163.412858</c:v>
                </c:pt>
                <c:pt idx="38">
                  <c:v>163.49082100000001</c:v>
                </c:pt>
                <c:pt idx="39">
                  <c:v>163.56229300000001</c:v>
                </c:pt>
                <c:pt idx="40">
                  <c:v>163.62801899999999</c:v>
                </c:pt>
                <c:pt idx="41">
                  <c:v>163.68863999999999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39-4D73-8BB1-FFE919C6F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1303039"/>
        <c:axId val="1651314559"/>
      </c:scatterChart>
      <c:valAx>
        <c:axId val="1651303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14559"/>
        <c:crosses val="autoZero"/>
        <c:crossBetween val="midCat"/>
      </c:valAx>
      <c:valAx>
        <c:axId val="165131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0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T fundo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Caso9!$D$4:$D$45</c:f>
              <c:numCache>
                <c:formatCode>General</c:formatCode>
                <c:ptCount val="42"/>
                <c:pt idx="0">
                  <c:v>0.5</c:v>
                </c:pt>
                <c:pt idx="1">
                  <c:v>2</c:v>
                </c:pt>
                <c:pt idx="2">
                  <c:v>2.1</c:v>
                </c:pt>
                <c:pt idx="3">
                  <c:v>2.2000000000000002</c:v>
                </c:pt>
                <c:pt idx="4">
                  <c:v>2.2999999999999998</c:v>
                </c:pt>
                <c:pt idx="5">
                  <c:v>2.4</c:v>
                </c:pt>
                <c:pt idx="6">
                  <c:v>2.5</c:v>
                </c:pt>
                <c:pt idx="7">
                  <c:v>2.6</c:v>
                </c:pt>
                <c:pt idx="8">
                  <c:v>2.7</c:v>
                </c:pt>
                <c:pt idx="9">
                  <c:v>2.8</c:v>
                </c:pt>
                <c:pt idx="10">
                  <c:v>2.9</c:v>
                </c:pt>
                <c:pt idx="11">
                  <c:v>3</c:v>
                </c:pt>
                <c:pt idx="12">
                  <c:v>3.1</c:v>
                </c:pt>
                <c:pt idx="13">
                  <c:v>3.2</c:v>
                </c:pt>
                <c:pt idx="14">
                  <c:v>3.3</c:v>
                </c:pt>
                <c:pt idx="15">
                  <c:v>3.4</c:v>
                </c:pt>
                <c:pt idx="16">
                  <c:v>3.5</c:v>
                </c:pt>
                <c:pt idx="17">
                  <c:v>3.6</c:v>
                </c:pt>
                <c:pt idx="18">
                  <c:v>3.7</c:v>
                </c:pt>
                <c:pt idx="19">
                  <c:v>3.8</c:v>
                </c:pt>
                <c:pt idx="20">
                  <c:v>3.9</c:v>
                </c:pt>
                <c:pt idx="21">
                  <c:v>4</c:v>
                </c:pt>
                <c:pt idx="22">
                  <c:v>4.0999999999999996</c:v>
                </c:pt>
                <c:pt idx="23">
                  <c:v>4.2</c:v>
                </c:pt>
                <c:pt idx="24">
                  <c:v>4.3</c:v>
                </c:pt>
                <c:pt idx="25">
                  <c:v>4.4000000000000004</c:v>
                </c:pt>
                <c:pt idx="26">
                  <c:v>4.5</c:v>
                </c:pt>
                <c:pt idx="27">
                  <c:v>4.5999999999999996</c:v>
                </c:pt>
                <c:pt idx="28">
                  <c:v>4.7</c:v>
                </c:pt>
                <c:pt idx="29">
                  <c:v>4.8</c:v>
                </c:pt>
                <c:pt idx="30">
                  <c:v>4.9000000000000004</c:v>
                </c:pt>
                <c:pt idx="31">
                  <c:v>5</c:v>
                </c:pt>
                <c:pt idx="32">
                  <c:v>5.0999999999999996</c:v>
                </c:pt>
                <c:pt idx="33">
                  <c:v>5.2</c:v>
                </c:pt>
                <c:pt idx="34">
                  <c:v>5.3</c:v>
                </c:pt>
                <c:pt idx="35">
                  <c:v>5.4</c:v>
                </c:pt>
                <c:pt idx="36">
                  <c:v>5.5</c:v>
                </c:pt>
                <c:pt idx="37">
                  <c:v>5.6</c:v>
                </c:pt>
                <c:pt idx="38">
                  <c:v>5.7</c:v>
                </c:pt>
                <c:pt idx="39">
                  <c:v>5.8</c:v>
                </c:pt>
                <c:pt idx="40">
                  <c:v>5.9</c:v>
                </c:pt>
                <c:pt idx="41">
                  <c:v>6</c:v>
                </c:pt>
              </c:numCache>
            </c:numRef>
          </c:xVal>
          <c:yVal>
            <c:numRef>
              <c:f>Caso9!$E$4:$E$45</c:f>
              <c:numCache>
                <c:formatCode>General</c:formatCode>
                <c:ptCount val="42"/>
                <c:pt idx="0">
                  <c:v>134.12581900000001</c:v>
                </c:pt>
                <c:pt idx="1">
                  <c:v>155.61311799999999</c:v>
                </c:pt>
                <c:pt idx="2">
                  <c:v>157.23414700000001</c:v>
                </c:pt>
                <c:pt idx="3">
                  <c:v>158.851012</c:v>
                </c:pt>
                <c:pt idx="4">
                  <c:v>160.46472900000001</c:v>
                </c:pt>
                <c:pt idx="5">
                  <c:v>162.074973</c:v>
                </c:pt>
                <c:pt idx="6">
                  <c:v>163.68152900000001</c:v>
                </c:pt>
                <c:pt idx="7">
                  <c:v>165.28460799999999</c:v>
                </c:pt>
                <c:pt idx="8">
                  <c:v>166.11676900000001</c:v>
                </c:pt>
                <c:pt idx="9">
                  <c:v>166.131393</c:v>
                </c:pt>
                <c:pt idx="10">
                  <c:v>166.15268</c:v>
                </c:pt>
                <c:pt idx="11">
                  <c:v>166.17586</c:v>
                </c:pt>
                <c:pt idx="12">
                  <c:v>166.199423</c:v>
                </c:pt>
                <c:pt idx="13">
                  <c:v>166.22289900000001</c:v>
                </c:pt>
                <c:pt idx="14">
                  <c:v>166.24613299999999</c:v>
                </c:pt>
                <c:pt idx="15">
                  <c:v>166.26920999999999</c:v>
                </c:pt>
                <c:pt idx="16">
                  <c:v>166.29245499999999</c:v>
                </c:pt>
                <c:pt idx="17">
                  <c:v>166.31555700000001</c:v>
                </c:pt>
                <c:pt idx="18">
                  <c:v>166.337864</c:v>
                </c:pt>
                <c:pt idx="19">
                  <c:v>166.35899499999999</c:v>
                </c:pt>
                <c:pt idx="20">
                  <c:v>166.37871200000001</c:v>
                </c:pt>
                <c:pt idx="21">
                  <c:v>166.396849</c:v>
                </c:pt>
                <c:pt idx="22">
                  <c:v>166.413297</c:v>
                </c:pt>
                <c:pt idx="23">
                  <c:v>166.42800700000001</c:v>
                </c:pt>
                <c:pt idx="24">
                  <c:v>166.44098700000001</c:v>
                </c:pt>
                <c:pt idx="25">
                  <c:v>166.45229399999999</c:v>
                </c:pt>
                <c:pt idx="26">
                  <c:v>166.462028</c:v>
                </c:pt>
                <c:pt idx="27">
                  <c:v>166.47031799999999</c:v>
                </c:pt>
                <c:pt idx="28">
                  <c:v>166.47731099999999</c:v>
                </c:pt>
                <c:pt idx="29">
                  <c:v>166.48316199999999</c:v>
                </c:pt>
                <c:pt idx="30">
                  <c:v>166.488021</c:v>
                </c:pt>
                <c:pt idx="31">
                  <c:v>166.49203399999999</c:v>
                </c:pt>
                <c:pt idx="32">
                  <c:v>166.49533099999999</c:v>
                </c:pt>
                <c:pt idx="33">
                  <c:v>166.49803</c:v>
                </c:pt>
                <c:pt idx="34">
                  <c:v>166.50023100000001</c:v>
                </c:pt>
                <c:pt idx="35">
                  <c:v>166.50202300000001</c:v>
                </c:pt>
                <c:pt idx="36">
                  <c:v>166.50348</c:v>
                </c:pt>
                <c:pt idx="37">
                  <c:v>166.504662</c:v>
                </c:pt>
                <c:pt idx="38">
                  <c:v>166.50562099999999</c:v>
                </c:pt>
                <c:pt idx="39">
                  <c:v>166.50639799999999</c:v>
                </c:pt>
                <c:pt idx="40">
                  <c:v>166.50702899999999</c:v>
                </c:pt>
                <c:pt idx="41">
                  <c:v>166.50754000000001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D2-49E2-92D0-D343CC852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015039"/>
        <c:axId val="2116015999"/>
      </c:scatterChart>
      <c:valAx>
        <c:axId val="2116015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15999"/>
        <c:crosses val="autoZero"/>
        <c:crossBetween val="midCat"/>
      </c:valAx>
      <c:valAx>
        <c:axId val="211601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15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recuperação H2S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Caso10!$D$4:$D$45</c:f>
              <c:numCache>
                <c:formatCode>General</c:formatCode>
                <c:ptCount val="42"/>
                <c:pt idx="0">
                  <c:v>0.5</c:v>
                </c:pt>
                <c:pt idx="1">
                  <c:v>2</c:v>
                </c:pt>
                <c:pt idx="2">
                  <c:v>2.1</c:v>
                </c:pt>
                <c:pt idx="3">
                  <c:v>2.2000000000000002</c:v>
                </c:pt>
                <c:pt idx="4">
                  <c:v>2.2999999999999998</c:v>
                </c:pt>
                <c:pt idx="5">
                  <c:v>2.4</c:v>
                </c:pt>
                <c:pt idx="6">
                  <c:v>2.5</c:v>
                </c:pt>
                <c:pt idx="7">
                  <c:v>2.6</c:v>
                </c:pt>
                <c:pt idx="8">
                  <c:v>2.7</c:v>
                </c:pt>
                <c:pt idx="9">
                  <c:v>2.8</c:v>
                </c:pt>
                <c:pt idx="10">
                  <c:v>2.9</c:v>
                </c:pt>
                <c:pt idx="11">
                  <c:v>3</c:v>
                </c:pt>
                <c:pt idx="12">
                  <c:v>3.1</c:v>
                </c:pt>
                <c:pt idx="13">
                  <c:v>3.2</c:v>
                </c:pt>
                <c:pt idx="14">
                  <c:v>3.3</c:v>
                </c:pt>
                <c:pt idx="15">
                  <c:v>3.4</c:v>
                </c:pt>
                <c:pt idx="16">
                  <c:v>3.5</c:v>
                </c:pt>
                <c:pt idx="17">
                  <c:v>3.6</c:v>
                </c:pt>
                <c:pt idx="18">
                  <c:v>3.7</c:v>
                </c:pt>
                <c:pt idx="19">
                  <c:v>3.8</c:v>
                </c:pt>
                <c:pt idx="20">
                  <c:v>3.9</c:v>
                </c:pt>
                <c:pt idx="21">
                  <c:v>4</c:v>
                </c:pt>
                <c:pt idx="22">
                  <c:v>4.0999999999999996</c:v>
                </c:pt>
                <c:pt idx="23">
                  <c:v>4.2</c:v>
                </c:pt>
                <c:pt idx="24">
                  <c:v>4.3</c:v>
                </c:pt>
                <c:pt idx="25">
                  <c:v>4.4000000000000004</c:v>
                </c:pt>
                <c:pt idx="26">
                  <c:v>4.5</c:v>
                </c:pt>
                <c:pt idx="27">
                  <c:v>4.5999999999999996</c:v>
                </c:pt>
                <c:pt idx="28">
                  <c:v>4.7</c:v>
                </c:pt>
                <c:pt idx="29">
                  <c:v>4.8</c:v>
                </c:pt>
                <c:pt idx="30">
                  <c:v>4.9000000000000004</c:v>
                </c:pt>
                <c:pt idx="31">
                  <c:v>5</c:v>
                </c:pt>
                <c:pt idx="32">
                  <c:v>5.0999999999999996</c:v>
                </c:pt>
                <c:pt idx="33">
                  <c:v>5.2</c:v>
                </c:pt>
                <c:pt idx="34">
                  <c:v>5.3</c:v>
                </c:pt>
                <c:pt idx="35">
                  <c:v>5.4</c:v>
                </c:pt>
                <c:pt idx="36">
                  <c:v>5.5</c:v>
                </c:pt>
                <c:pt idx="37">
                  <c:v>5.6</c:v>
                </c:pt>
                <c:pt idx="38">
                  <c:v>5.7</c:v>
                </c:pt>
                <c:pt idx="39">
                  <c:v>5.8</c:v>
                </c:pt>
                <c:pt idx="40">
                  <c:v>5.9</c:v>
                </c:pt>
                <c:pt idx="41">
                  <c:v>6</c:v>
                </c:pt>
              </c:numCache>
            </c:numRef>
          </c:xVal>
          <c:yVal>
            <c:numRef>
              <c:f>Caso10!$S$4:$S$45</c:f>
              <c:numCache>
                <c:formatCode>0.00</c:formatCode>
                <c:ptCount val="42"/>
                <c:pt idx="0">
                  <c:v>0.57361995428571433</c:v>
                </c:pt>
                <c:pt idx="1">
                  <c:v>43.100475885714282</c:v>
                </c:pt>
                <c:pt idx="2">
                  <c:v>51.252663657142861</c:v>
                </c:pt>
                <c:pt idx="3">
                  <c:v>59.74324971428571</c:v>
                </c:pt>
                <c:pt idx="4">
                  <c:v>68.566072571428577</c:v>
                </c:pt>
                <c:pt idx="5">
                  <c:v>77.732172571428578</c:v>
                </c:pt>
                <c:pt idx="6">
                  <c:v>87.248585142857138</c:v>
                </c:pt>
                <c:pt idx="7">
                  <c:v>97.122440571428569</c:v>
                </c:pt>
                <c:pt idx="8">
                  <c:v>99.99999885714287</c:v>
                </c:pt>
                <c:pt idx="9">
                  <c:v>99.999995999999996</c:v>
                </c:pt>
                <c:pt idx="10">
                  <c:v>100.00000114285713</c:v>
                </c:pt>
                <c:pt idx="11">
                  <c:v>100</c:v>
                </c:pt>
                <c:pt idx="12">
                  <c:v>99.999970285714284</c:v>
                </c:pt>
                <c:pt idx="13">
                  <c:v>99.999989714285704</c:v>
                </c:pt>
                <c:pt idx="14">
                  <c:v>100.00000171428572</c:v>
                </c:pt>
                <c:pt idx="15">
                  <c:v>99.999999428571428</c:v>
                </c:pt>
                <c:pt idx="16">
                  <c:v>99.99998742857143</c:v>
                </c:pt>
                <c:pt idx="17">
                  <c:v>100.00000057142857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99.999997714285726</c:v>
                </c:pt>
                <c:pt idx="23">
                  <c:v>99.99999885714287</c:v>
                </c:pt>
                <c:pt idx="24">
                  <c:v>99.99999885714287</c:v>
                </c:pt>
                <c:pt idx="25">
                  <c:v>99.999999428571428</c:v>
                </c:pt>
                <c:pt idx="26">
                  <c:v>99.999999428571428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0F-4D3B-AC92-753EF3FDD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60831"/>
        <c:axId val="627070911"/>
      </c:scatterChart>
      <c:valAx>
        <c:axId val="62706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70911"/>
        <c:crosses val="autoZero"/>
        <c:crossBetween val="midCat"/>
      </c:valAx>
      <c:valAx>
        <c:axId val="627070911"/>
        <c:scaling>
          <c:orientation val="minMax"/>
          <c:max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60831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perda NH3 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Caso10!$D$4:$D$45</c:f>
              <c:numCache>
                <c:formatCode>General</c:formatCode>
                <c:ptCount val="42"/>
                <c:pt idx="0">
                  <c:v>0.5</c:v>
                </c:pt>
                <c:pt idx="1">
                  <c:v>2</c:v>
                </c:pt>
                <c:pt idx="2">
                  <c:v>2.1</c:v>
                </c:pt>
                <c:pt idx="3">
                  <c:v>2.2000000000000002</c:v>
                </c:pt>
                <c:pt idx="4">
                  <c:v>2.2999999999999998</c:v>
                </c:pt>
                <c:pt idx="5">
                  <c:v>2.4</c:v>
                </c:pt>
                <c:pt idx="6">
                  <c:v>2.5</c:v>
                </c:pt>
                <c:pt idx="7">
                  <c:v>2.6</c:v>
                </c:pt>
                <c:pt idx="8">
                  <c:v>2.7</c:v>
                </c:pt>
                <c:pt idx="9">
                  <c:v>2.8</c:v>
                </c:pt>
                <c:pt idx="10">
                  <c:v>2.9</c:v>
                </c:pt>
                <c:pt idx="11">
                  <c:v>3</c:v>
                </c:pt>
                <c:pt idx="12">
                  <c:v>3.1</c:v>
                </c:pt>
                <c:pt idx="13">
                  <c:v>3.2</c:v>
                </c:pt>
                <c:pt idx="14">
                  <c:v>3.3</c:v>
                </c:pt>
                <c:pt idx="15">
                  <c:v>3.4</c:v>
                </c:pt>
                <c:pt idx="16">
                  <c:v>3.5</c:v>
                </c:pt>
                <c:pt idx="17">
                  <c:v>3.6</c:v>
                </c:pt>
                <c:pt idx="18">
                  <c:v>3.7</c:v>
                </c:pt>
                <c:pt idx="19">
                  <c:v>3.8</c:v>
                </c:pt>
                <c:pt idx="20">
                  <c:v>3.9</c:v>
                </c:pt>
                <c:pt idx="21">
                  <c:v>4</c:v>
                </c:pt>
                <c:pt idx="22">
                  <c:v>4.0999999999999996</c:v>
                </c:pt>
                <c:pt idx="23">
                  <c:v>4.2</c:v>
                </c:pt>
                <c:pt idx="24">
                  <c:v>4.3</c:v>
                </c:pt>
                <c:pt idx="25">
                  <c:v>4.4000000000000004</c:v>
                </c:pt>
                <c:pt idx="26">
                  <c:v>4.5</c:v>
                </c:pt>
                <c:pt idx="27">
                  <c:v>4.5999999999999996</c:v>
                </c:pt>
                <c:pt idx="28">
                  <c:v>4.7</c:v>
                </c:pt>
                <c:pt idx="29">
                  <c:v>4.8</c:v>
                </c:pt>
                <c:pt idx="30">
                  <c:v>4.9000000000000004</c:v>
                </c:pt>
                <c:pt idx="31">
                  <c:v>5</c:v>
                </c:pt>
                <c:pt idx="32">
                  <c:v>5.0999999999999996</c:v>
                </c:pt>
                <c:pt idx="33">
                  <c:v>5.2</c:v>
                </c:pt>
                <c:pt idx="34">
                  <c:v>5.3</c:v>
                </c:pt>
                <c:pt idx="35">
                  <c:v>5.4</c:v>
                </c:pt>
                <c:pt idx="36">
                  <c:v>5.5</c:v>
                </c:pt>
                <c:pt idx="37">
                  <c:v>5.6</c:v>
                </c:pt>
                <c:pt idx="38">
                  <c:v>5.7</c:v>
                </c:pt>
                <c:pt idx="39">
                  <c:v>5.8</c:v>
                </c:pt>
                <c:pt idx="40">
                  <c:v>5.9</c:v>
                </c:pt>
                <c:pt idx="41">
                  <c:v>6</c:v>
                </c:pt>
              </c:numCache>
            </c:numRef>
          </c:xVal>
          <c:yVal>
            <c:numRef>
              <c:f>Caso10!$T$4:$T$45</c:f>
              <c:numCache>
                <c:formatCode>0.00</c:formatCode>
                <c:ptCount val="42"/>
                <c:pt idx="0">
                  <c:v>3.3436236333333331E-37</c:v>
                </c:pt>
                <c:pt idx="1">
                  <c:v>9.3617012000000001E-4</c:v>
                </c:pt>
                <c:pt idx="2">
                  <c:v>1.1678130533333332E-3</c:v>
                </c:pt>
                <c:pt idx="3">
                  <c:v>1.4367680066666665E-3</c:v>
                </c:pt>
                <c:pt idx="4">
                  <c:v>1.7515161533333335E-3</c:v>
                </c:pt>
                <c:pt idx="5">
                  <c:v>2.1231712733333335E-3</c:v>
                </c:pt>
                <c:pt idx="6">
                  <c:v>2.56530314E-3</c:v>
                </c:pt>
                <c:pt idx="7">
                  <c:v>3.0945752999999997E-3</c:v>
                </c:pt>
                <c:pt idx="8">
                  <c:v>1.1785156666666667</c:v>
                </c:pt>
                <c:pt idx="9">
                  <c:v>5.1889038066666675</c:v>
                </c:pt>
                <c:pt idx="10">
                  <c:v>10.472717733333333</c:v>
                </c:pt>
                <c:pt idx="11">
                  <c:v>16.127503333333333</c:v>
                </c:pt>
                <c:pt idx="12">
                  <c:v>21.871608133333336</c:v>
                </c:pt>
                <c:pt idx="13">
                  <c:v>27.619813733333334</c:v>
                </c:pt>
                <c:pt idx="14">
                  <c:v>33.357462200000001</c:v>
                </c:pt>
                <c:pt idx="15">
                  <c:v>39.126438999999998</c:v>
                </c:pt>
                <c:pt idx="16">
                  <c:v>44.967002999999998</c:v>
                </c:pt>
                <c:pt idx="17">
                  <c:v>50.776840999999997</c:v>
                </c:pt>
                <c:pt idx="18">
                  <c:v>56.408575800000001</c:v>
                </c:pt>
                <c:pt idx="19">
                  <c:v>61.764082799999997</c:v>
                </c:pt>
                <c:pt idx="20">
                  <c:v>66.778049333333328</c:v>
                </c:pt>
                <c:pt idx="21">
                  <c:v>71.403387333333328</c:v>
                </c:pt>
                <c:pt idx="22">
                  <c:v>75.607294666666675</c:v>
                </c:pt>
                <c:pt idx="23">
                  <c:v>79.373199333333332</c:v>
                </c:pt>
                <c:pt idx="24">
                  <c:v>82.698080666666669</c:v>
                </c:pt>
                <c:pt idx="25">
                  <c:v>85.593232666666665</c:v>
                </c:pt>
                <c:pt idx="26">
                  <c:v>88.081809333333325</c:v>
                </c:pt>
                <c:pt idx="27">
                  <c:v>90.195876666666663</c:v>
                </c:pt>
                <c:pt idx="28">
                  <c:v>91.973118666666664</c:v>
                </c:pt>
                <c:pt idx="29">
                  <c:v>93.453711333333331</c:v>
                </c:pt>
                <c:pt idx="30">
                  <c:v>94.677712666666665</c:v>
                </c:pt>
                <c:pt idx="31">
                  <c:v>95.683143333333319</c:v>
                </c:pt>
                <c:pt idx="32">
                  <c:v>96.504757999999995</c:v>
                </c:pt>
                <c:pt idx="33">
                  <c:v>97.173401999999982</c:v>
                </c:pt>
                <c:pt idx="34">
                  <c:v>97.715832666666657</c:v>
                </c:pt>
                <c:pt idx="35">
                  <c:v>98.154838000000012</c:v>
                </c:pt>
                <c:pt idx="36">
                  <c:v>98.50954866666666</c:v>
                </c:pt>
                <c:pt idx="37">
                  <c:v>98.795846000000012</c:v>
                </c:pt>
                <c:pt idx="38">
                  <c:v>99.02679333333333</c:v>
                </c:pt>
                <c:pt idx="39">
                  <c:v>99.213062666666659</c:v>
                </c:pt>
                <c:pt idx="40">
                  <c:v>99.363327333333345</c:v>
                </c:pt>
                <c:pt idx="41">
                  <c:v>99.484605333333334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55-4FE5-B8E5-C69B393CE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31071"/>
        <c:axId val="627048351"/>
      </c:scatterChart>
      <c:valAx>
        <c:axId val="627031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48351"/>
        <c:crosses val="autoZero"/>
        <c:crossBetween val="midCat"/>
      </c:valAx>
      <c:valAx>
        <c:axId val="627048351"/>
        <c:scaling>
          <c:orientation val="minMax"/>
          <c:max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31071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T topo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Caso10!$D$4:$D$45</c:f>
              <c:numCache>
                <c:formatCode>General</c:formatCode>
                <c:ptCount val="42"/>
                <c:pt idx="0">
                  <c:v>0.5</c:v>
                </c:pt>
                <c:pt idx="1">
                  <c:v>2</c:v>
                </c:pt>
                <c:pt idx="2">
                  <c:v>2.1</c:v>
                </c:pt>
                <c:pt idx="3">
                  <c:v>2.2000000000000002</c:v>
                </c:pt>
                <c:pt idx="4">
                  <c:v>2.2999999999999998</c:v>
                </c:pt>
                <c:pt idx="5">
                  <c:v>2.4</c:v>
                </c:pt>
                <c:pt idx="6">
                  <c:v>2.5</c:v>
                </c:pt>
                <c:pt idx="7">
                  <c:v>2.6</c:v>
                </c:pt>
                <c:pt idx="8">
                  <c:v>2.7</c:v>
                </c:pt>
                <c:pt idx="9">
                  <c:v>2.8</c:v>
                </c:pt>
                <c:pt idx="10">
                  <c:v>2.9</c:v>
                </c:pt>
                <c:pt idx="11">
                  <c:v>3</c:v>
                </c:pt>
                <c:pt idx="12">
                  <c:v>3.1</c:v>
                </c:pt>
                <c:pt idx="13">
                  <c:v>3.2</c:v>
                </c:pt>
                <c:pt idx="14">
                  <c:v>3.3</c:v>
                </c:pt>
                <c:pt idx="15">
                  <c:v>3.4</c:v>
                </c:pt>
                <c:pt idx="16">
                  <c:v>3.5</c:v>
                </c:pt>
                <c:pt idx="17">
                  <c:v>3.6</c:v>
                </c:pt>
                <c:pt idx="18">
                  <c:v>3.7</c:v>
                </c:pt>
                <c:pt idx="19">
                  <c:v>3.8</c:v>
                </c:pt>
                <c:pt idx="20">
                  <c:v>3.9</c:v>
                </c:pt>
                <c:pt idx="21">
                  <c:v>4</c:v>
                </c:pt>
                <c:pt idx="22">
                  <c:v>4.0999999999999996</c:v>
                </c:pt>
                <c:pt idx="23">
                  <c:v>4.2</c:v>
                </c:pt>
                <c:pt idx="24">
                  <c:v>4.3</c:v>
                </c:pt>
                <c:pt idx="25">
                  <c:v>4.4000000000000004</c:v>
                </c:pt>
                <c:pt idx="26">
                  <c:v>4.5</c:v>
                </c:pt>
                <c:pt idx="27">
                  <c:v>4.5999999999999996</c:v>
                </c:pt>
                <c:pt idx="28">
                  <c:v>4.7</c:v>
                </c:pt>
                <c:pt idx="29">
                  <c:v>4.8</c:v>
                </c:pt>
                <c:pt idx="30">
                  <c:v>4.9000000000000004</c:v>
                </c:pt>
                <c:pt idx="31">
                  <c:v>5</c:v>
                </c:pt>
                <c:pt idx="32">
                  <c:v>5.0999999999999996</c:v>
                </c:pt>
                <c:pt idx="33">
                  <c:v>5.2</c:v>
                </c:pt>
                <c:pt idx="34">
                  <c:v>5.3</c:v>
                </c:pt>
                <c:pt idx="35">
                  <c:v>5.4</c:v>
                </c:pt>
                <c:pt idx="36">
                  <c:v>5.5</c:v>
                </c:pt>
                <c:pt idx="37">
                  <c:v>5.6</c:v>
                </c:pt>
                <c:pt idx="38">
                  <c:v>5.7</c:v>
                </c:pt>
                <c:pt idx="39">
                  <c:v>5.8</c:v>
                </c:pt>
                <c:pt idx="40">
                  <c:v>5.9</c:v>
                </c:pt>
                <c:pt idx="41">
                  <c:v>6</c:v>
                </c:pt>
              </c:numCache>
            </c:numRef>
          </c:xVal>
          <c:yVal>
            <c:numRef>
              <c:f>Caso10!$F$4:$F$45</c:f>
              <c:numCache>
                <c:formatCode>General</c:formatCode>
                <c:ptCount val="42"/>
                <c:pt idx="0">
                  <c:v>-34.473895200000001</c:v>
                </c:pt>
                <c:pt idx="1">
                  <c:v>60.237072599999998</c:v>
                </c:pt>
                <c:pt idx="2">
                  <c:v>60.2861093</c:v>
                </c:pt>
                <c:pt idx="3">
                  <c:v>60.334427099999999</c:v>
                </c:pt>
                <c:pt idx="4">
                  <c:v>60.385978100000003</c:v>
                </c:pt>
                <c:pt idx="5">
                  <c:v>60.440209000000003</c:v>
                </c:pt>
                <c:pt idx="6">
                  <c:v>60.497082499999998</c:v>
                </c:pt>
                <c:pt idx="7">
                  <c:v>60.557177199999998</c:v>
                </c:pt>
                <c:pt idx="8">
                  <c:v>61.482213399999999</c:v>
                </c:pt>
                <c:pt idx="9">
                  <c:v>62.723857000000002</c:v>
                </c:pt>
                <c:pt idx="10">
                  <c:v>65.022802200000001</c:v>
                </c:pt>
                <c:pt idx="11">
                  <c:v>69.521738299999996</c:v>
                </c:pt>
                <c:pt idx="12">
                  <c:v>77.669331299999996</c:v>
                </c:pt>
                <c:pt idx="13">
                  <c:v>90.266408900000002</c:v>
                </c:pt>
                <c:pt idx="14">
                  <c:v>106.81984799999999</c:v>
                </c:pt>
                <c:pt idx="15">
                  <c:v>124.84451900000001</c:v>
                </c:pt>
                <c:pt idx="16">
                  <c:v>138.893079</c:v>
                </c:pt>
                <c:pt idx="17">
                  <c:v>146.992526</c:v>
                </c:pt>
                <c:pt idx="18">
                  <c:v>151.48144300000001</c:v>
                </c:pt>
                <c:pt idx="19">
                  <c:v>154.186633</c:v>
                </c:pt>
                <c:pt idx="20">
                  <c:v>155.96824899999999</c:v>
                </c:pt>
                <c:pt idx="21">
                  <c:v>157.22823500000001</c:v>
                </c:pt>
                <c:pt idx="22">
                  <c:v>158.16982300000001</c:v>
                </c:pt>
                <c:pt idx="23">
                  <c:v>158.90413899999999</c:v>
                </c:pt>
                <c:pt idx="24">
                  <c:v>159.496307</c:v>
                </c:pt>
                <c:pt idx="25">
                  <c:v>159.98652100000001</c:v>
                </c:pt>
                <c:pt idx="26">
                  <c:v>160.40075300000001</c:v>
                </c:pt>
                <c:pt idx="27">
                  <c:v>160.75645800000001</c:v>
                </c:pt>
                <c:pt idx="28">
                  <c:v>161.06578999999999</c:v>
                </c:pt>
                <c:pt idx="29">
                  <c:v>161.337501</c:v>
                </c:pt>
                <c:pt idx="30">
                  <c:v>161.578093</c:v>
                </c:pt>
                <c:pt idx="31">
                  <c:v>161.79253800000001</c:v>
                </c:pt>
                <c:pt idx="32">
                  <c:v>161.984737</c:v>
                </c:pt>
                <c:pt idx="33">
                  <c:v>162.15781899999999</c:v>
                </c:pt>
                <c:pt idx="34">
                  <c:v>162.31434100000001</c:v>
                </c:pt>
                <c:pt idx="35">
                  <c:v>162.45642599999999</c:v>
                </c:pt>
                <c:pt idx="36">
                  <c:v>162.58585299999999</c:v>
                </c:pt>
                <c:pt idx="37">
                  <c:v>162.70413099999999</c:v>
                </c:pt>
                <c:pt idx="38">
                  <c:v>162.81254899999999</c:v>
                </c:pt>
                <c:pt idx="39">
                  <c:v>162.912215</c:v>
                </c:pt>
                <c:pt idx="40">
                  <c:v>163.00408400000001</c:v>
                </c:pt>
                <c:pt idx="41">
                  <c:v>163.08898600000001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4D-4052-A0E8-36AE052F0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1303039"/>
        <c:axId val="1651314559"/>
      </c:scatterChart>
      <c:valAx>
        <c:axId val="1651303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14559"/>
        <c:crosses val="autoZero"/>
        <c:crossBetween val="midCat"/>
      </c:valAx>
      <c:valAx>
        <c:axId val="165131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0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refervedor [Gcal/h] x T fundo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Caso10!$D$4:$D$45</c:f>
              <c:numCache>
                <c:formatCode>General</c:formatCode>
                <c:ptCount val="42"/>
                <c:pt idx="0">
                  <c:v>0.5</c:v>
                </c:pt>
                <c:pt idx="1">
                  <c:v>2</c:v>
                </c:pt>
                <c:pt idx="2">
                  <c:v>2.1</c:v>
                </c:pt>
                <c:pt idx="3">
                  <c:v>2.2000000000000002</c:v>
                </c:pt>
                <c:pt idx="4">
                  <c:v>2.2999999999999998</c:v>
                </c:pt>
                <c:pt idx="5">
                  <c:v>2.4</c:v>
                </c:pt>
                <c:pt idx="6">
                  <c:v>2.5</c:v>
                </c:pt>
                <c:pt idx="7">
                  <c:v>2.6</c:v>
                </c:pt>
                <c:pt idx="8">
                  <c:v>2.7</c:v>
                </c:pt>
                <c:pt idx="9">
                  <c:v>2.8</c:v>
                </c:pt>
                <c:pt idx="10">
                  <c:v>2.9</c:v>
                </c:pt>
                <c:pt idx="11">
                  <c:v>3</c:v>
                </c:pt>
                <c:pt idx="12">
                  <c:v>3.1</c:v>
                </c:pt>
                <c:pt idx="13">
                  <c:v>3.2</c:v>
                </c:pt>
                <c:pt idx="14">
                  <c:v>3.3</c:v>
                </c:pt>
                <c:pt idx="15">
                  <c:v>3.4</c:v>
                </c:pt>
                <c:pt idx="16">
                  <c:v>3.5</c:v>
                </c:pt>
                <c:pt idx="17">
                  <c:v>3.6</c:v>
                </c:pt>
                <c:pt idx="18">
                  <c:v>3.7</c:v>
                </c:pt>
                <c:pt idx="19">
                  <c:v>3.8</c:v>
                </c:pt>
                <c:pt idx="20">
                  <c:v>3.9</c:v>
                </c:pt>
                <c:pt idx="21">
                  <c:v>4</c:v>
                </c:pt>
                <c:pt idx="22">
                  <c:v>4.0999999999999996</c:v>
                </c:pt>
                <c:pt idx="23">
                  <c:v>4.2</c:v>
                </c:pt>
                <c:pt idx="24">
                  <c:v>4.3</c:v>
                </c:pt>
                <c:pt idx="25">
                  <c:v>4.4000000000000004</c:v>
                </c:pt>
                <c:pt idx="26">
                  <c:v>4.5</c:v>
                </c:pt>
                <c:pt idx="27">
                  <c:v>4.5999999999999996</c:v>
                </c:pt>
                <c:pt idx="28">
                  <c:v>4.7</c:v>
                </c:pt>
                <c:pt idx="29">
                  <c:v>4.8</c:v>
                </c:pt>
                <c:pt idx="30">
                  <c:v>4.9000000000000004</c:v>
                </c:pt>
                <c:pt idx="31">
                  <c:v>5</c:v>
                </c:pt>
                <c:pt idx="32">
                  <c:v>5.0999999999999996</c:v>
                </c:pt>
                <c:pt idx="33">
                  <c:v>5.2</c:v>
                </c:pt>
                <c:pt idx="34">
                  <c:v>5.3</c:v>
                </c:pt>
                <c:pt idx="35">
                  <c:v>5.4</c:v>
                </c:pt>
                <c:pt idx="36">
                  <c:v>5.5</c:v>
                </c:pt>
                <c:pt idx="37">
                  <c:v>5.6</c:v>
                </c:pt>
                <c:pt idx="38">
                  <c:v>5.7</c:v>
                </c:pt>
                <c:pt idx="39">
                  <c:v>5.8</c:v>
                </c:pt>
                <c:pt idx="40">
                  <c:v>5.9</c:v>
                </c:pt>
                <c:pt idx="41">
                  <c:v>6</c:v>
                </c:pt>
              </c:numCache>
            </c:numRef>
          </c:xVal>
          <c:yVal>
            <c:numRef>
              <c:f>Caso10!$E$4:$E$45</c:f>
              <c:numCache>
                <c:formatCode>General</c:formatCode>
                <c:ptCount val="42"/>
                <c:pt idx="0">
                  <c:v>138.60815099999999</c:v>
                </c:pt>
                <c:pt idx="1">
                  <c:v>155.595305</c:v>
                </c:pt>
                <c:pt idx="2">
                  <c:v>157.21551400000001</c:v>
                </c:pt>
                <c:pt idx="3">
                  <c:v>158.831569</c:v>
                </c:pt>
                <c:pt idx="4">
                  <c:v>160.44445999999999</c:v>
                </c:pt>
                <c:pt idx="5">
                  <c:v>162.053921</c:v>
                </c:pt>
                <c:pt idx="6">
                  <c:v>163.65959599999999</c:v>
                </c:pt>
                <c:pt idx="7">
                  <c:v>165.26184000000001</c:v>
                </c:pt>
                <c:pt idx="8">
                  <c:v>165.72663600000001</c:v>
                </c:pt>
                <c:pt idx="9">
                  <c:v>165.75839500000001</c:v>
                </c:pt>
                <c:pt idx="10">
                  <c:v>165.80025000000001</c:v>
                </c:pt>
                <c:pt idx="11">
                  <c:v>165.84503100000001</c:v>
                </c:pt>
                <c:pt idx="12">
                  <c:v>165.89049199999999</c:v>
                </c:pt>
                <c:pt idx="13">
                  <c:v>165.93593300000001</c:v>
                </c:pt>
                <c:pt idx="14">
                  <c:v>165.981178</c:v>
                </c:pt>
                <c:pt idx="15">
                  <c:v>166.026431</c:v>
                </c:pt>
                <c:pt idx="16">
                  <c:v>166.07193799999999</c:v>
                </c:pt>
                <c:pt idx="17">
                  <c:v>166.117085</c:v>
                </c:pt>
                <c:pt idx="18">
                  <c:v>166.16092699999999</c:v>
                </c:pt>
                <c:pt idx="19">
                  <c:v>166.20277300000001</c:v>
                </c:pt>
                <c:pt idx="20">
                  <c:v>166.242118</c:v>
                </c:pt>
                <c:pt idx="21">
                  <c:v>166.27857700000001</c:v>
                </c:pt>
                <c:pt idx="22">
                  <c:v>166.31186299999999</c:v>
                </c:pt>
                <c:pt idx="23">
                  <c:v>166.341812</c:v>
                </c:pt>
                <c:pt idx="24">
                  <c:v>166.368369</c:v>
                </c:pt>
                <c:pt idx="25">
                  <c:v>166.391593</c:v>
                </c:pt>
                <c:pt idx="26">
                  <c:v>166.41163800000001</c:v>
                </c:pt>
                <c:pt idx="27">
                  <c:v>166.42873700000001</c:v>
                </c:pt>
                <c:pt idx="28">
                  <c:v>166.44316900000001</c:v>
                </c:pt>
                <c:pt idx="29">
                  <c:v>166.45524</c:v>
                </c:pt>
                <c:pt idx="30">
                  <c:v>166.465259</c:v>
                </c:pt>
                <c:pt idx="31">
                  <c:v>166.473522</c:v>
                </c:pt>
                <c:pt idx="32">
                  <c:v>166.480299</c:v>
                </c:pt>
                <c:pt idx="33">
                  <c:v>166.485837</c:v>
                </c:pt>
                <c:pt idx="34">
                  <c:v>166.49034599999999</c:v>
                </c:pt>
                <c:pt idx="35">
                  <c:v>166.49401</c:v>
                </c:pt>
                <c:pt idx="36">
                  <c:v>166.496982</c:v>
                </c:pt>
                <c:pt idx="37">
                  <c:v>166.49939000000001</c:v>
                </c:pt>
                <c:pt idx="38">
                  <c:v>166.501339</c:v>
                </c:pt>
                <c:pt idx="39">
                  <c:v>166.50291799999999</c:v>
                </c:pt>
                <c:pt idx="40">
                  <c:v>166.50419600000001</c:v>
                </c:pt>
                <c:pt idx="41">
                  <c:v>166.50523200000001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43-426B-A520-4F7002093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015039"/>
        <c:axId val="2116015999"/>
      </c:scatterChart>
      <c:valAx>
        <c:axId val="2116015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15999"/>
        <c:crosses val="autoZero"/>
        <c:crossBetween val="midCat"/>
      </c:valAx>
      <c:valAx>
        <c:axId val="211601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15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4" Type="http://schemas.openxmlformats.org/officeDocument/2006/relationships/chart" Target="../charts/chart3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268605</xdr:colOff>
      <xdr:row>45</xdr:row>
      <xdr:rowOff>164782</xdr:rowOff>
    </xdr:from>
    <xdr:to>
      <xdr:col>13</xdr:col>
      <xdr:colOff>421005</xdr:colOff>
      <xdr:row>60</xdr:row>
      <xdr:rowOff>58102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F9DD80-B7F3-4332-AEFE-D5EC4F1617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651510</xdr:colOff>
      <xdr:row>46</xdr:row>
      <xdr:rowOff>10477</xdr:rowOff>
    </xdr:from>
    <xdr:to>
      <xdr:col>20</xdr:col>
      <xdr:colOff>499110</xdr:colOff>
      <xdr:row>60</xdr:row>
      <xdr:rowOff>86677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4858E0-5D1D-493E-8F69-858CA0C59E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320992</xdr:colOff>
      <xdr:row>45</xdr:row>
      <xdr:rowOff>134302</xdr:rowOff>
    </xdr:from>
    <xdr:to>
      <xdr:col>7</xdr:col>
      <xdr:colOff>140017</xdr:colOff>
      <xdr:row>60</xdr:row>
      <xdr:rowOff>27622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0BF33C-DA85-4D9D-A66B-F958901590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337185</xdr:colOff>
      <xdr:row>60</xdr:row>
      <xdr:rowOff>171450</xdr:rowOff>
    </xdr:from>
    <xdr:to>
      <xdr:col>7</xdr:col>
      <xdr:colOff>156210</xdr:colOff>
      <xdr:row>75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DAADAF3-6102-43C4-8B70-BC74E7950C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268605</xdr:colOff>
      <xdr:row>45</xdr:row>
      <xdr:rowOff>164782</xdr:rowOff>
    </xdr:from>
    <xdr:to>
      <xdr:col>13</xdr:col>
      <xdr:colOff>421005</xdr:colOff>
      <xdr:row>60</xdr:row>
      <xdr:rowOff>58102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F7EA3A-6CFF-475C-AE02-F20424D269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651510</xdr:colOff>
      <xdr:row>46</xdr:row>
      <xdr:rowOff>10477</xdr:rowOff>
    </xdr:from>
    <xdr:to>
      <xdr:col>20</xdr:col>
      <xdr:colOff>499110</xdr:colOff>
      <xdr:row>60</xdr:row>
      <xdr:rowOff>86677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BB7E05-BA30-40BB-80C9-41B1202BCC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320992</xdr:colOff>
      <xdr:row>45</xdr:row>
      <xdr:rowOff>134302</xdr:rowOff>
    </xdr:from>
    <xdr:to>
      <xdr:col>7</xdr:col>
      <xdr:colOff>140017</xdr:colOff>
      <xdr:row>60</xdr:row>
      <xdr:rowOff>27622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E775FA-7CB5-4F48-9FA8-BB059E042D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337185</xdr:colOff>
      <xdr:row>60</xdr:row>
      <xdr:rowOff>171450</xdr:rowOff>
    </xdr:from>
    <xdr:to>
      <xdr:col>7</xdr:col>
      <xdr:colOff>156210</xdr:colOff>
      <xdr:row>75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8AAF81E-F434-4442-A845-D0A8A56CBC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268605</xdr:colOff>
      <xdr:row>45</xdr:row>
      <xdr:rowOff>164782</xdr:rowOff>
    </xdr:from>
    <xdr:to>
      <xdr:col>13</xdr:col>
      <xdr:colOff>421005</xdr:colOff>
      <xdr:row>60</xdr:row>
      <xdr:rowOff>58102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8A23F7-5F54-4C13-867F-B0A3BDC570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651510</xdr:colOff>
      <xdr:row>46</xdr:row>
      <xdr:rowOff>10477</xdr:rowOff>
    </xdr:from>
    <xdr:to>
      <xdr:col>20</xdr:col>
      <xdr:colOff>499110</xdr:colOff>
      <xdr:row>60</xdr:row>
      <xdr:rowOff>86677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85908C-F0A9-43C1-9A08-E1BA409B2E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320992</xdr:colOff>
      <xdr:row>45</xdr:row>
      <xdr:rowOff>134302</xdr:rowOff>
    </xdr:from>
    <xdr:to>
      <xdr:col>7</xdr:col>
      <xdr:colOff>140017</xdr:colOff>
      <xdr:row>60</xdr:row>
      <xdr:rowOff>27622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A39615-DB9E-41C9-A4D6-A5E1DED18C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337185</xdr:colOff>
      <xdr:row>60</xdr:row>
      <xdr:rowOff>171450</xdr:rowOff>
    </xdr:from>
    <xdr:to>
      <xdr:col>7</xdr:col>
      <xdr:colOff>156210</xdr:colOff>
      <xdr:row>75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3C3C3D8-D8CC-4888-AFE6-BB279A178F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268605</xdr:colOff>
      <xdr:row>45</xdr:row>
      <xdr:rowOff>164782</xdr:rowOff>
    </xdr:from>
    <xdr:to>
      <xdr:col>13</xdr:col>
      <xdr:colOff>421005</xdr:colOff>
      <xdr:row>60</xdr:row>
      <xdr:rowOff>58102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ED08FA-D42D-4615-90C6-A2E0A89854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651510</xdr:colOff>
      <xdr:row>46</xdr:row>
      <xdr:rowOff>10477</xdr:rowOff>
    </xdr:from>
    <xdr:to>
      <xdr:col>20</xdr:col>
      <xdr:colOff>499110</xdr:colOff>
      <xdr:row>60</xdr:row>
      <xdr:rowOff>86677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ADDE76-6908-4A5A-A26B-E2560A499D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320992</xdr:colOff>
      <xdr:row>45</xdr:row>
      <xdr:rowOff>134302</xdr:rowOff>
    </xdr:from>
    <xdr:to>
      <xdr:col>7</xdr:col>
      <xdr:colOff>140017</xdr:colOff>
      <xdr:row>60</xdr:row>
      <xdr:rowOff>27622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BB602C-8ED6-4873-8828-4DCA2C4DC4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337185</xdr:colOff>
      <xdr:row>60</xdr:row>
      <xdr:rowOff>171450</xdr:rowOff>
    </xdr:from>
    <xdr:to>
      <xdr:col>7</xdr:col>
      <xdr:colOff>156210</xdr:colOff>
      <xdr:row>75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73EEEC1-228E-4687-B0A5-5B1B1405B7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268605</xdr:colOff>
      <xdr:row>45</xdr:row>
      <xdr:rowOff>164782</xdr:rowOff>
    </xdr:from>
    <xdr:to>
      <xdr:col>13</xdr:col>
      <xdr:colOff>421005</xdr:colOff>
      <xdr:row>60</xdr:row>
      <xdr:rowOff>58102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3E820D-F1F1-4D6B-91C2-1E2723E6C0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651510</xdr:colOff>
      <xdr:row>46</xdr:row>
      <xdr:rowOff>10477</xdr:rowOff>
    </xdr:from>
    <xdr:to>
      <xdr:col>20</xdr:col>
      <xdr:colOff>499110</xdr:colOff>
      <xdr:row>60</xdr:row>
      <xdr:rowOff>86677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619439-60DE-4D5D-82B3-D3EB66F4E3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320992</xdr:colOff>
      <xdr:row>45</xdr:row>
      <xdr:rowOff>134302</xdr:rowOff>
    </xdr:from>
    <xdr:to>
      <xdr:col>7</xdr:col>
      <xdr:colOff>140017</xdr:colOff>
      <xdr:row>60</xdr:row>
      <xdr:rowOff>27622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87DE50-CAD8-4A6C-8E92-537B2B288E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337185</xdr:colOff>
      <xdr:row>60</xdr:row>
      <xdr:rowOff>171450</xdr:rowOff>
    </xdr:from>
    <xdr:to>
      <xdr:col>7</xdr:col>
      <xdr:colOff>156210</xdr:colOff>
      <xdr:row>75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DDD56E-B499-459D-BA7A-108305D13B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268605</xdr:colOff>
      <xdr:row>45</xdr:row>
      <xdr:rowOff>164782</xdr:rowOff>
    </xdr:from>
    <xdr:to>
      <xdr:col>13</xdr:col>
      <xdr:colOff>421005</xdr:colOff>
      <xdr:row>60</xdr:row>
      <xdr:rowOff>58102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AE6340-5445-43C3-A3F3-5E378464B3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651510</xdr:colOff>
      <xdr:row>46</xdr:row>
      <xdr:rowOff>10477</xdr:rowOff>
    </xdr:from>
    <xdr:to>
      <xdr:col>20</xdr:col>
      <xdr:colOff>499110</xdr:colOff>
      <xdr:row>60</xdr:row>
      <xdr:rowOff>86677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07748A-87BB-4C17-B0BF-4F5EEB2593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320992</xdr:colOff>
      <xdr:row>45</xdr:row>
      <xdr:rowOff>134302</xdr:rowOff>
    </xdr:from>
    <xdr:to>
      <xdr:col>7</xdr:col>
      <xdr:colOff>140017</xdr:colOff>
      <xdr:row>60</xdr:row>
      <xdr:rowOff>27622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15BE3DE-4BC6-4D34-BC8E-8751BB84D9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337185</xdr:colOff>
      <xdr:row>60</xdr:row>
      <xdr:rowOff>171450</xdr:rowOff>
    </xdr:from>
    <xdr:to>
      <xdr:col>7</xdr:col>
      <xdr:colOff>156210</xdr:colOff>
      <xdr:row>75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CAE78A-DAE3-4ACE-8E6E-794B45C472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268605</xdr:colOff>
      <xdr:row>45</xdr:row>
      <xdr:rowOff>164782</xdr:rowOff>
    </xdr:from>
    <xdr:to>
      <xdr:col>13</xdr:col>
      <xdr:colOff>421005</xdr:colOff>
      <xdr:row>60</xdr:row>
      <xdr:rowOff>58102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53883D-8414-46F3-8428-AB7DFDC726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651510</xdr:colOff>
      <xdr:row>46</xdr:row>
      <xdr:rowOff>10477</xdr:rowOff>
    </xdr:from>
    <xdr:to>
      <xdr:col>20</xdr:col>
      <xdr:colOff>499110</xdr:colOff>
      <xdr:row>60</xdr:row>
      <xdr:rowOff>86677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BB9242-5D23-4B5D-AC57-2E143BBEF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320992</xdr:colOff>
      <xdr:row>45</xdr:row>
      <xdr:rowOff>134302</xdr:rowOff>
    </xdr:from>
    <xdr:to>
      <xdr:col>7</xdr:col>
      <xdr:colOff>140017</xdr:colOff>
      <xdr:row>60</xdr:row>
      <xdr:rowOff>27622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793E2D-E016-498C-8D21-E5BED917C3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337185</xdr:colOff>
      <xdr:row>60</xdr:row>
      <xdr:rowOff>171450</xdr:rowOff>
    </xdr:from>
    <xdr:to>
      <xdr:col>7</xdr:col>
      <xdr:colOff>156210</xdr:colOff>
      <xdr:row>75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339F3CE-7AA9-428A-9BD7-13AC85EE87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268605</xdr:colOff>
      <xdr:row>45</xdr:row>
      <xdr:rowOff>164782</xdr:rowOff>
    </xdr:from>
    <xdr:to>
      <xdr:col>13</xdr:col>
      <xdr:colOff>421005</xdr:colOff>
      <xdr:row>60</xdr:row>
      <xdr:rowOff>58102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B50C73-AB56-4A36-9CC3-C6737F337D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651510</xdr:colOff>
      <xdr:row>46</xdr:row>
      <xdr:rowOff>10477</xdr:rowOff>
    </xdr:from>
    <xdr:to>
      <xdr:col>20</xdr:col>
      <xdr:colOff>499110</xdr:colOff>
      <xdr:row>60</xdr:row>
      <xdr:rowOff>86677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E62FD3-8FE5-4D84-AC5C-BED75BB73B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320992</xdr:colOff>
      <xdr:row>45</xdr:row>
      <xdr:rowOff>134302</xdr:rowOff>
    </xdr:from>
    <xdr:to>
      <xdr:col>7</xdr:col>
      <xdr:colOff>140017</xdr:colOff>
      <xdr:row>60</xdr:row>
      <xdr:rowOff>27622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773948-92F2-4320-A59D-3D88C030FA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337185</xdr:colOff>
      <xdr:row>60</xdr:row>
      <xdr:rowOff>171450</xdr:rowOff>
    </xdr:from>
    <xdr:to>
      <xdr:col>7</xdr:col>
      <xdr:colOff>156210</xdr:colOff>
      <xdr:row>75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BEE9BFB-C658-4806-A0DC-1CEF70D0AC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268605</xdr:colOff>
      <xdr:row>45</xdr:row>
      <xdr:rowOff>164782</xdr:rowOff>
    </xdr:from>
    <xdr:to>
      <xdr:col>13</xdr:col>
      <xdr:colOff>421005</xdr:colOff>
      <xdr:row>60</xdr:row>
      <xdr:rowOff>58102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399464-DA14-486D-B689-0BFA450524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651510</xdr:colOff>
      <xdr:row>46</xdr:row>
      <xdr:rowOff>10477</xdr:rowOff>
    </xdr:from>
    <xdr:to>
      <xdr:col>20</xdr:col>
      <xdr:colOff>499110</xdr:colOff>
      <xdr:row>60</xdr:row>
      <xdr:rowOff>86677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33AB51-4018-45FE-9B60-580287CEEF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320992</xdr:colOff>
      <xdr:row>45</xdr:row>
      <xdr:rowOff>134302</xdr:rowOff>
    </xdr:from>
    <xdr:to>
      <xdr:col>7</xdr:col>
      <xdr:colOff>140017</xdr:colOff>
      <xdr:row>60</xdr:row>
      <xdr:rowOff>27622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B96A47-3885-40F4-94BB-9894EF1B72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337185</xdr:colOff>
      <xdr:row>60</xdr:row>
      <xdr:rowOff>171450</xdr:rowOff>
    </xdr:from>
    <xdr:to>
      <xdr:col>7</xdr:col>
      <xdr:colOff>156210</xdr:colOff>
      <xdr:row>75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FAE5789-F3E0-4585-849C-3500012D53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268605</xdr:colOff>
      <xdr:row>45</xdr:row>
      <xdr:rowOff>164782</xdr:rowOff>
    </xdr:from>
    <xdr:to>
      <xdr:col>13</xdr:col>
      <xdr:colOff>421005</xdr:colOff>
      <xdr:row>60</xdr:row>
      <xdr:rowOff>58102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0143D8-1702-4D50-AAA7-33F187A39A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651510</xdr:colOff>
      <xdr:row>46</xdr:row>
      <xdr:rowOff>10477</xdr:rowOff>
    </xdr:from>
    <xdr:to>
      <xdr:col>20</xdr:col>
      <xdr:colOff>499110</xdr:colOff>
      <xdr:row>60</xdr:row>
      <xdr:rowOff>86677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2181FF-839D-4E16-B72C-95828A603C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320992</xdr:colOff>
      <xdr:row>45</xdr:row>
      <xdr:rowOff>134302</xdr:rowOff>
    </xdr:from>
    <xdr:to>
      <xdr:col>7</xdr:col>
      <xdr:colOff>140017</xdr:colOff>
      <xdr:row>60</xdr:row>
      <xdr:rowOff>27622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307097-B038-4A99-8423-7835F5D25F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337185</xdr:colOff>
      <xdr:row>60</xdr:row>
      <xdr:rowOff>171450</xdr:rowOff>
    </xdr:from>
    <xdr:to>
      <xdr:col>7</xdr:col>
      <xdr:colOff>156210</xdr:colOff>
      <xdr:row>75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8A20023-B25E-4349-9BC4-94E1F9EA15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44E0A-1A72-41A1-AA5F-BCA89274D8B8}">
  <dimension ref="A2:D4"/>
  <sheetViews>
    <sheetView workbookViewId="0">
      <selection activeCell="E6" sqref="E6"/>
    </sheetView>
  </sheetViews>
  <sheetFormatPr defaultRowHeight="14.4" x14ac:dyDescent="0.3"/>
  <sheetData>
    <row r="2" spans="1:4" x14ac:dyDescent="0.3">
      <c r="A2" s="4"/>
      <c r="B2" s="4" t="s">
        <v>64</v>
      </c>
      <c r="C2" t="s">
        <v>66</v>
      </c>
      <c r="D2" t="s">
        <v>67</v>
      </c>
    </row>
    <row r="3" spans="1:4" x14ac:dyDescent="0.3">
      <c r="A3" s="4" t="s">
        <v>63</v>
      </c>
      <c r="B3" s="4">
        <f>MIN(Dados!B2:K17)</f>
        <v>159.39223200000001</v>
      </c>
      <c r="C3" s="4">
        <f>MIN(Dados!L2:U17)</f>
        <v>60.002298400000001</v>
      </c>
      <c r="D3">
        <f>MIN(Caso1!D4:D19)</f>
        <v>0.5</v>
      </c>
    </row>
    <row r="4" spans="1:4" x14ac:dyDescent="0.3">
      <c r="A4" t="s">
        <v>65</v>
      </c>
      <c r="B4" s="4">
        <f>MAX(Dados!B3:K18)</f>
        <v>166.45334800000001</v>
      </c>
      <c r="C4" s="4">
        <f>MAX(Dados!L3:U18)</f>
        <v>162.89102399999999</v>
      </c>
      <c r="D4">
        <f>MAX(Caso1!D4:D19)</f>
        <v>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E80A6-5BE0-4646-8B3D-EB6061B86E4E}">
  <dimension ref="A1:AO38"/>
  <sheetViews>
    <sheetView tabSelected="1" zoomScaleNormal="100" workbookViewId="0">
      <selection activeCell="AP9" sqref="AP9"/>
    </sheetView>
  </sheetViews>
  <sheetFormatPr defaultColWidth="30.33203125" defaultRowHeight="14.4" x14ac:dyDescent="0.3"/>
  <cols>
    <col min="1" max="1" width="30.6640625" style="4" bestFit="1" customWidth="1"/>
    <col min="2" max="5" width="18.6640625" style="4" bestFit="1" customWidth="1"/>
    <col min="6" max="11" width="18.6640625" style="4" customWidth="1"/>
    <col min="12" max="19" width="17.5546875" style="4" bestFit="1" customWidth="1"/>
    <col min="20" max="21" width="17.5546875" style="4" customWidth="1"/>
    <col min="22" max="29" width="27.44140625" style="4" bestFit="1" customWidth="1"/>
    <col min="30" max="31" width="27.44140625" style="4" customWidth="1"/>
    <col min="32" max="39" width="21.109375" style="4" bestFit="1" customWidth="1"/>
    <col min="40" max="16384" width="30.33203125" style="4"/>
  </cols>
  <sheetData>
    <row r="1" spans="1:41" x14ac:dyDescent="0.3">
      <c r="A1" s="4" t="s">
        <v>39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33</v>
      </c>
      <c r="G1" s="4" t="s">
        <v>34</v>
      </c>
      <c r="H1" s="4" t="s">
        <v>40</v>
      </c>
      <c r="I1" s="4" t="s">
        <v>41</v>
      </c>
      <c r="J1" s="4" t="s">
        <v>54</v>
      </c>
      <c r="K1" s="4" t="s">
        <v>55</v>
      </c>
      <c r="L1" s="4" t="s">
        <v>46</v>
      </c>
      <c r="M1" s="4" t="s">
        <v>47</v>
      </c>
      <c r="N1" s="4" t="s">
        <v>48</v>
      </c>
      <c r="O1" s="4" t="s">
        <v>49</v>
      </c>
      <c r="P1" s="4" t="s">
        <v>50</v>
      </c>
      <c r="Q1" s="4" t="s">
        <v>51</v>
      </c>
      <c r="R1" s="4" t="s">
        <v>52</v>
      </c>
      <c r="S1" s="4" t="s">
        <v>53</v>
      </c>
      <c r="T1" s="4" t="s">
        <v>56</v>
      </c>
      <c r="U1" s="4" t="s">
        <v>57</v>
      </c>
      <c r="V1" s="4" t="s">
        <v>21</v>
      </c>
      <c r="W1" s="4" t="s">
        <v>26</v>
      </c>
      <c r="X1" s="4" t="s">
        <v>27</v>
      </c>
      <c r="Y1" s="4" t="s">
        <v>28</v>
      </c>
      <c r="Z1" s="4" t="s">
        <v>35</v>
      </c>
      <c r="AA1" s="4" t="s">
        <v>36</v>
      </c>
      <c r="AB1" s="4" t="s">
        <v>42</v>
      </c>
      <c r="AC1" s="4" t="s">
        <v>43</v>
      </c>
      <c r="AD1" s="4" t="s">
        <v>58</v>
      </c>
      <c r="AE1" s="4" t="s">
        <v>59</v>
      </c>
      <c r="AF1" s="4" t="s">
        <v>29</v>
      </c>
      <c r="AG1" s="4" t="s">
        <v>30</v>
      </c>
      <c r="AH1" s="4" t="s">
        <v>31</v>
      </c>
      <c r="AI1" s="4" t="s">
        <v>32</v>
      </c>
      <c r="AJ1" s="4" t="s">
        <v>37</v>
      </c>
      <c r="AK1" s="4" t="s">
        <v>38</v>
      </c>
      <c r="AL1" s="4" t="s">
        <v>44</v>
      </c>
      <c r="AM1" s="4" t="s">
        <v>45</v>
      </c>
      <c r="AN1" s="4" t="s">
        <v>60</v>
      </c>
      <c r="AO1" s="4" t="s">
        <v>61</v>
      </c>
    </row>
    <row r="2" spans="1:41" x14ac:dyDescent="0.3">
      <c r="A2" s="4">
        <v>2.4</v>
      </c>
      <c r="B2" s="4">
        <f>Caso1!$E9</f>
        <v>164.03850700000001</v>
      </c>
      <c r="C2" s="4">
        <f>Caso2!$E9</f>
        <v>160.36881299999999</v>
      </c>
      <c r="D2" s="4">
        <f>Caso3!$E9</f>
        <v>159.39223200000001</v>
      </c>
      <c r="E2" s="4">
        <f>Caso4!$E9</f>
        <v>164.84225599999999</v>
      </c>
      <c r="F2" s="4">
        <f>Caso5!$E9</f>
        <v>162.25075799999999</v>
      </c>
      <c r="G2" s="4">
        <f>Caso6!$E9</f>
        <v>162.185169</v>
      </c>
      <c r="H2" s="4">
        <f>Caso7!$E9</f>
        <v>162.16412600000001</v>
      </c>
      <c r="I2" s="4">
        <f>Caso8!$E9</f>
        <v>162.11949100000001</v>
      </c>
      <c r="J2" s="4">
        <f>Caso9!$E9</f>
        <v>162.074973</v>
      </c>
      <c r="K2" s="4">
        <f>Caso10!$E9</f>
        <v>162.053921</v>
      </c>
      <c r="L2" s="4">
        <f>Caso1!$F9</f>
        <v>60.336289299999997</v>
      </c>
      <c r="M2" s="4">
        <f>Caso2!$F9</f>
        <v>60.244799999999998</v>
      </c>
      <c r="N2" s="4">
        <f>Caso3!$F9</f>
        <v>60.201987299999999</v>
      </c>
      <c r="O2" s="4">
        <f>Caso4!$F9</f>
        <v>60.384111300000001</v>
      </c>
      <c r="P2" s="4">
        <f>Caso5!$F9</f>
        <v>60.002298400000001</v>
      </c>
      <c r="Q2" s="4">
        <f>Caso6!$F9</f>
        <v>60.143031000000001</v>
      </c>
      <c r="R2" s="4">
        <f>Caso7!$F9</f>
        <v>60.155143199999998</v>
      </c>
      <c r="S2" s="4">
        <f>Caso8!$F9</f>
        <v>60.2889579</v>
      </c>
      <c r="T2" s="4">
        <f>Caso9!$F9</f>
        <v>60.427214900000003</v>
      </c>
      <c r="U2" s="4">
        <f>Caso10!$F9</f>
        <v>60.440209000000003</v>
      </c>
      <c r="V2" s="5">
        <f>Caso1!$S9</f>
        <v>84.375576541353382</v>
      </c>
      <c r="W2" s="5">
        <f>Caso2!$S9</f>
        <v>56.140790421768706</v>
      </c>
      <c r="X2" s="5">
        <f>Caso3!$S9</f>
        <v>48.87449241904762</v>
      </c>
      <c r="Y2" s="5">
        <f>Caso4!$S9</f>
        <v>91.010948571428571</v>
      </c>
      <c r="Z2" s="5">
        <f>Caso5!$S9</f>
        <v>1.4495224845714285</v>
      </c>
      <c r="AA2" s="5">
        <f>Caso6!$S9</f>
        <v>52.294437828571432</v>
      </c>
      <c r="AB2" s="5">
        <f>Caso7!$S9</f>
        <v>56.657400000000003</v>
      </c>
      <c r="AC2" s="5">
        <f>Caso8!$S9</f>
        <v>69.249393295238093</v>
      </c>
      <c r="AD2" s="5">
        <f>Caso9!$S9</f>
        <v>75.556523428571438</v>
      </c>
      <c r="AE2" s="5">
        <f>Caso10!$S9</f>
        <v>77.732172571428578</v>
      </c>
      <c r="AF2" s="5">
        <f>Caso1!$T9</f>
        <v>1.8563779087719299E-3</v>
      </c>
      <c r="AG2" s="5">
        <f>Caso2!$T9</f>
        <v>1.1422335407407409E-3</v>
      </c>
      <c r="AH2" s="5">
        <f>Caso3!$T9</f>
        <v>9.475196444444445E-4</v>
      </c>
      <c r="AI2" s="5">
        <f>Caso4!$T9</f>
        <v>2.1612076533333332E-3</v>
      </c>
      <c r="AJ2" s="5">
        <f>Caso5!$T9</f>
        <v>2.3721677519999998E-5</v>
      </c>
      <c r="AK2" s="5">
        <f>Caso6!$T9</f>
        <v>9.3371340533333349E-4</v>
      </c>
      <c r="AL2" s="5">
        <f>Caso7!$T9</f>
        <v>5.7075949999999996E-4</v>
      </c>
      <c r="AM2" s="5">
        <f>Caso8!$T9</f>
        <v>1.4611697777777777E-3</v>
      </c>
      <c r="AN2" s="5">
        <f>Caso9!$T9</f>
        <v>3.2120691866666671E-3</v>
      </c>
      <c r="AO2" s="5">
        <f>Caso10!$T9</f>
        <v>2.1231712733333335E-3</v>
      </c>
    </row>
    <row r="3" spans="1:41" x14ac:dyDescent="0.3">
      <c r="A3" s="4">
        <v>2.5</v>
      </c>
      <c r="B3" s="4">
        <f>Caso1!$E10</f>
        <v>165.71789200000001</v>
      </c>
      <c r="C3" s="4">
        <f>Caso2!$E10</f>
        <v>161.90493599999999</v>
      </c>
      <c r="D3" s="4">
        <f>Caso3!$E10</f>
        <v>161.00286299999999</v>
      </c>
      <c r="E3" s="4">
        <f>Caso4!$E10</f>
        <v>165.91824</v>
      </c>
      <c r="F3" s="4">
        <f>Caso5!$E10</f>
        <v>163.85299800000001</v>
      </c>
      <c r="G3" s="4">
        <f>Caso6!$E10</f>
        <v>163.78847200000001</v>
      </c>
      <c r="H3" s="4">
        <f>Caso7!$E10</f>
        <v>163.76658599999999</v>
      </c>
      <c r="I3" s="4">
        <f>Caso8!$E10</f>
        <v>163.723973</v>
      </c>
      <c r="J3" s="4">
        <f>Caso9!$E10</f>
        <v>163.68152900000001</v>
      </c>
      <c r="K3" s="4">
        <f>Caso10!$E10</f>
        <v>163.65959599999999</v>
      </c>
      <c r="L3" s="4">
        <f>Caso1!$F10</f>
        <v>60.394578500000001</v>
      </c>
      <c r="M3" s="4">
        <f>Caso2!$F10</f>
        <v>60.296878900000003</v>
      </c>
      <c r="N3" s="4">
        <f>Caso3!$F10</f>
        <v>60.2523342</v>
      </c>
      <c r="O3" s="4">
        <f>Caso4!$F10</f>
        <v>60.853878000000002</v>
      </c>
      <c r="P3" s="4">
        <f>Caso5!$F10</f>
        <v>60.052925100000003</v>
      </c>
      <c r="Q3" s="4">
        <f>Caso6!$F10</f>
        <v>60.1956256</v>
      </c>
      <c r="R3" s="4">
        <f>Caso7!$F10</f>
        <v>60.208410000000001</v>
      </c>
      <c r="S3" s="4">
        <f>Caso8!$F10</f>
        <v>60.343701799999998</v>
      </c>
      <c r="T3" s="4">
        <f>Caso9!$F10</f>
        <v>60.483374400000002</v>
      </c>
      <c r="U3" s="4">
        <f>Caso10!$F10</f>
        <v>60.497082499999998</v>
      </c>
      <c r="V3" s="5">
        <f>Caso1!$S10</f>
        <v>98.301021353383462</v>
      </c>
      <c r="W3" s="5">
        <f>Caso2!$S10</f>
        <v>67.694865850340136</v>
      </c>
      <c r="X3" s="5">
        <f>Caso3!$S10</f>
        <v>60.739060190476195</v>
      </c>
      <c r="Y3" s="5">
        <f>Caso4!$S10</f>
        <v>100.00000076190476</v>
      </c>
      <c r="Z3" s="5">
        <f>Caso5!$S10</f>
        <v>39.159523885714286</v>
      </c>
      <c r="AA3" s="5">
        <f>Caso6!$S10</f>
        <v>71.20788422857143</v>
      </c>
      <c r="AB3" s="5">
        <f>Caso7!$S10</f>
        <v>75.734356114285703</v>
      </c>
      <c r="AC3" s="5">
        <f>Caso8!$S10</f>
        <v>81.897750857142853</v>
      </c>
      <c r="AD3" s="5">
        <f>Caso9!$S10</f>
        <v>84.991186857142864</v>
      </c>
      <c r="AE3" s="5">
        <f>Caso10!$S10</f>
        <v>87.248585142857138</v>
      </c>
      <c r="AF3" s="5">
        <f>Caso1!$T10</f>
        <v>2.2875883040935673E-3</v>
      </c>
      <c r="AG3" s="5">
        <f>Caso2!$T10</f>
        <v>1.4390682074074076E-3</v>
      </c>
      <c r="AH3" s="5">
        <f>Caso3!$T10</f>
        <v>1.22092344E-3</v>
      </c>
      <c r="AI3" s="5">
        <f>Caso4!$T10</f>
        <v>0.30623612177777781</v>
      </c>
      <c r="AJ3" s="5">
        <f>Caso5!$T10</f>
        <v>6.464282986666667E-4</v>
      </c>
      <c r="AK3" s="5">
        <f>Caso6!$T10</f>
        <v>1.3046120773333334E-3</v>
      </c>
      <c r="AL3" s="5">
        <f>Caso7!$T10</f>
        <v>8.0053580000000006E-4</v>
      </c>
      <c r="AM3" s="5">
        <f>Caso8!$T10</f>
        <v>1.8159702222222223E-3</v>
      </c>
      <c r="AN3" s="5">
        <f>Caso9!$T10</f>
        <v>3.7800853733333329E-3</v>
      </c>
      <c r="AO3" s="5">
        <f>Caso10!$T10</f>
        <v>2.56530314E-3</v>
      </c>
    </row>
    <row r="4" spans="1:41" x14ac:dyDescent="0.3">
      <c r="A4" s="4">
        <v>2.6</v>
      </c>
      <c r="B4" s="4">
        <f>Caso1!$E11</f>
        <v>165.928439</v>
      </c>
      <c r="C4" s="4">
        <f>Caso2!$E11</f>
        <v>163.43766600000001</v>
      </c>
      <c r="D4" s="4">
        <f>Caso3!$E11</f>
        <v>162.60997599999999</v>
      </c>
      <c r="E4" s="4">
        <f>Caso4!$E11</f>
        <v>165.93483599999999</v>
      </c>
      <c r="F4" s="4">
        <f>Caso5!$E11</f>
        <v>165.451617</v>
      </c>
      <c r="G4" s="4">
        <f>Caso6!$E11</f>
        <v>165.38823300000001</v>
      </c>
      <c r="H4" s="4">
        <f>Caso7!$E11</f>
        <v>165.36552699999999</v>
      </c>
      <c r="I4" s="4">
        <f>Caso8!$E11</f>
        <v>165.32493500000001</v>
      </c>
      <c r="J4" s="4">
        <f>Caso9!$E11</f>
        <v>165.28460799999999</v>
      </c>
      <c r="K4" s="4">
        <f>Caso10!$E11</f>
        <v>165.26184000000001</v>
      </c>
      <c r="L4" s="4">
        <f>Caso1!$F11</f>
        <v>61.294056500000003</v>
      </c>
      <c r="M4" s="4">
        <f>Caso2!$F11</f>
        <v>60.351397300000002</v>
      </c>
      <c r="N4" s="4">
        <f>Caso3!$F11</f>
        <v>60.305054200000001</v>
      </c>
      <c r="O4" s="4">
        <f>Caso4!$F11</f>
        <v>61.726710300000001</v>
      </c>
      <c r="P4" s="4">
        <f>Caso5!$F11</f>
        <v>60.106530200000002</v>
      </c>
      <c r="Q4" s="4">
        <f>Caso6!$F11</f>
        <v>60.251421800000003</v>
      </c>
      <c r="R4" s="4">
        <f>Caso7!$F11</f>
        <v>60.264918000000002</v>
      </c>
      <c r="S4" s="4">
        <f>Caso8!$F11</f>
        <v>60.401673099999996</v>
      </c>
      <c r="T4" s="4">
        <f>Caso9!$F11</f>
        <v>60.542750300000002</v>
      </c>
      <c r="U4" s="4">
        <f>Caso10!$F11</f>
        <v>60.557177199999998</v>
      </c>
      <c r="V4" s="5">
        <f>Caso1!$S11</f>
        <v>100.00000401002507</v>
      </c>
      <c r="W4" s="5">
        <f>Caso2!$S11</f>
        <v>79.671633560090712</v>
      </c>
      <c r="X4" s="5">
        <f>Caso3!$S11</f>
        <v>73.063217523809527</v>
      </c>
      <c r="Y4" s="5">
        <f>Caso4!$S11</f>
        <v>99.999993142857136</v>
      </c>
      <c r="Z4" s="5">
        <f>Caso5!$S11</f>
        <v>78.28880822857144</v>
      </c>
      <c r="AA4" s="5">
        <f>Caso6!$S11</f>
        <v>90.832337600000002</v>
      </c>
      <c r="AB4" s="5">
        <f>Caso7!$S11</f>
        <v>95.524802285714287</v>
      </c>
      <c r="AC4" s="5">
        <f>Caso8!$S11</f>
        <v>95.021324952380951</v>
      </c>
      <c r="AD4" s="5">
        <f>Caso9!$S11</f>
        <v>94.782069142857139</v>
      </c>
      <c r="AE4" s="5">
        <f>Caso10!$S11</f>
        <v>97.122440571428569</v>
      </c>
      <c r="AF4" s="5">
        <f>Caso1!$T11</f>
        <v>1.736728514619883</v>
      </c>
      <c r="AG4" s="5">
        <f>Caso2!$T11</f>
        <v>1.780641058201058E-3</v>
      </c>
      <c r="AH4" s="5">
        <f>Caso3!$T11</f>
        <v>1.5310692444444444E-3</v>
      </c>
      <c r="AI4" s="5">
        <f>Caso4!$T11</f>
        <v>3.1065186044444442</v>
      </c>
      <c r="AJ4" s="5">
        <f>Caso5!$T11</f>
        <v>1.3062755013333333E-3</v>
      </c>
      <c r="AK4" s="5">
        <f>Caso6!$T11</f>
        <v>1.7158671466666667E-3</v>
      </c>
      <c r="AL4" s="5">
        <f>Caso7!$T11</f>
        <v>1.0676643200000001E-3</v>
      </c>
      <c r="AM4" s="5">
        <f>Caso8!$T11</f>
        <v>2.2291634755555556E-3</v>
      </c>
      <c r="AN4" s="5">
        <f>Caso9!$T11</f>
        <v>4.4346272533333335E-3</v>
      </c>
      <c r="AO4" s="5">
        <f>Caso10!$T11</f>
        <v>3.0945752999999997E-3</v>
      </c>
    </row>
    <row r="5" spans="1:41" x14ac:dyDescent="0.3">
      <c r="A5" s="4">
        <v>2.7</v>
      </c>
      <c r="B5" s="4">
        <f>Caso1!$E12</f>
        <v>165.95551</v>
      </c>
      <c r="C5" s="4">
        <f>Caso2!$E12</f>
        <v>164.967197</v>
      </c>
      <c r="D5" s="4">
        <f>Caso3!$E12</f>
        <v>164.213447</v>
      </c>
      <c r="E5" s="4">
        <f>Caso4!$E12</f>
        <v>165.96212600000001</v>
      </c>
      <c r="F5" s="4">
        <f>Caso5!$E12</f>
        <v>166.31373400000001</v>
      </c>
      <c r="G5" s="4">
        <f>Caso6!$E12</f>
        <v>166.11773600000001</v>
      </c>
      <c r="H5" s="4">
        <f>Caso7!$E12</f>
        <v>165.72852499999999</v>
      </c>
      <c r="I5" s="4">
        <f>Caso8!$E12</f>
        <v>165.921964</v>
      </c>
      <c r="J5" s="4">
        <f>Caso9!$E12</f>
        <v>166.11676900000001</v>
      </c>
      <c r="K5" s="4">
        <f>Caso10!$E12</f>
        <v>165.72663600000001</v>
      </c>
      <c r="L5" s="4">
        <f>Caso1!$F12</f>
        <v>62.331605799999998</v>
      </c>
      <c r="M5" s="4">
        <f>Caso2!$F12</f>
        <v>60.409010799999997</v>
      </c>
      <c r="N5" s="4">
        <f>Caso3!$F12</f>
        <v>60.361092499999998</v>
      </c>
      <c r="O5" s="4">
        <f>Caso4!$F12</f>
        <v>63.081242199999998</v>
      </c>
      <c r="P5" s="4">
        <f>Caso5!$F12</f>
        <v>60.447533499999999</v>
      </c>
      <c r="Q5" s="4">
        <f>Caso6!$F12</f>
        <v>60.795275599999997</v>
      </c>
      <c r="R5" s="4">
        <f>Caso7!$F12</f>
        <v>60.954985999999998</v>
      </c>
      <c r="S5" s="4">
        <f>Caso8!$F12</f>
        <v>61.1327207</v>
      </c>
      <c r="T5" s="4">
        <f>Caso9!$F12</f>
        <v>61.225959799999998</v>
      </c>
      <c r="U5" s="4">
        <f>Caso10!$F12</f>
        <v>61.482213399999999</v>
      </c>
      <c r="V5" s="5">
        <f>Caso1!$S12</f>
        <v>100</v>
      </c>
      <c r="W5" s="5">
        <f>Caso2!$S12</f>
        <v>92.079105306122457</v>
      </c>
      <c r="X5" s="5">
        <f>Caso3!$S12</f>
        <v>85.856178285714293</v>
      </c>
      <c r="Y5" s="5">
        <f>Caso4!$S12</f>
        <v>99.999993904761894</v>
      </c>
      <c r="Z5" s="5">
        <f>Caso5!$S12</f>
        <v>100.00000114285713</v>
      </c>
      <c r="AA5" s="5">
        <f>Caso6!$S12</f>
        <v>100.00000125714287</v>
      </c>
      <c r="AB5" s="5">
        <f>Caso7!$S12</f>
        <v>100.00000068571428</v>
      </c>
      <c r="AC5" s="5">
        <f>Caso8!$S12</f>
        <v>100.00000076190476</v>
      </c>
      <c r="AD5" s="5">
        <f>Caso9!$S12</f>
        <v>100.00000171428572</v>
      </c>
      <c r="AE5" s="5">
        <f>Caso10!$S12</f>
        <v>99.99999885714287</v>
      </c>
      <c r="AF5" s="5">
        <f>Caso1!$T12</f>
        <v>6.3143923649122806</v>
      </c>
      <c r="AG5" s="5">
        <f>Caso2!$T12</f>
        <v>2.1779324021164023E-3</v>
      </c>
      <c r="AH5" s="5">
        <f>Caso3!$T12</f>
        <v>1.8866376533333334E-3</v>
      </c>
      <c r="AI5" s="5">
        <f>Caso4!$T12</f>
        <v>7.7074001688888893</v>
      </c>
      <c r="AJ5" s="5">
        <f>Caso5!$T12</f>
        <v>0.55756425333333326</v>
      </c>
      <c r="AK5" s="5">
        <f>Caso6!$T12</f>
        <v>0.72815467866666661</v>
      </c>
      <c r="AL5" s="5">
        <f>Caso7!$T12</f>
        <v>1.2456742066666666</v>
      </c>
      <c r="AM5" s="5">
        <f>Caso8!$T12</f>
        <v>0.93537044444444439</v>
      </c>
      <c r="AN5" s="5">
        <f>Caso9!$T12</f>
        <v>0.65470927066666673</v>
      </c>
      <c r="AO5" s="5">
        <f>Caso10!$T12</f>
        <v>1.1785156666666667</v>
      </c>
    </row>
    <row r="6" spans="1:41" x14ac:dyDescent="0.3">
      <c r="A6" s="4">
        <v>2.8</v>
      </c>
      <c r="B6" s="4">
        <f>Caso1!$E13</f>
        <v>165.989509</v>
      </c>
      <c r="C6" s="4">
        <f>Caso2!$E13</f>
        <v>165.91718800000001</v>
      </c>
      <c r="D6" s="4">
        <f>Caso3!$E13</f>
        <v>165.8134</v>
      </c>
      <c r="E6" s="4">
        <f>Caso4!$E13</f>
        <v>165.99292</v>
      </c>
      <c r="F6" s="4">
        <f>Caso5!$E13</f>
        <v>166.320515</v>
      </c>
      <c r="G6" s="4">
        <f>Caso6!$E13</f>
        <v>166.13213400000001</v>
      </c>
      <c r="H6" s="4">
        <f>Caso7!$E13</f>
        <v>165.75971200000001</v>
      </c>
      <c r="I6" s="4">
        <f>Caso8!$E13</f>
        <v>165.94473500000001</v>
      </c>
      <c r="J6" s="4">
        <f>Caso9!$E13</f>
        <v>166.131393</v>
      </c>
      <c r="K6" s="4">
        <f>Caso10!$E13</f>
        <v>165.75839500000001</v>
      </c>
      <c r="L6" s="4">
        <f>Caso1!$F13</f>
        <v>64.513585899999995</v>
      </c>
      <c r="M6" s="4">
        <f>Caso2!$F13</f>
        <v>60.937230300000003</v>
      </c>
      <c r="N6" s="4">
        <f>Caso3!$F13</f>
        <v>60.419836500000002</v>
      </c>
      <c r="O6" s="4">
        <f>Caso4!$F13</f>
        <v>65.907590499999998</v>
      </c>
      <c r="P6" s="4">
        <f>Caso5!$F13</f>
        <v>60.761178600000001</v>
      </c>
      <c r="Q6" s="4">
        <f>Caso6!$F13</f>
        <v>61.422114000000001</v>
      </c>
      <c r="R6" s="4">
        <f>Caso7!$F13</f>
        <v>61.983125200000003</v>
      </c>
      <c r="S6" s="4">
        <f>Caso8!$F13</f>
        <v>62.065180699999999</v>
      </c>
      <c r="T6" s="4">
        <f>Caso9!$F13</f>
        <v>62.233038700000002</v>
      </c>
      <c r="U6" s="4">
        <f>Caso10!$F13</f>
        <v>62.723857000000002</v>
      </c>
      <c r="V6" s="5">
        <f>Caso1!$S13</f>
        <v>99.999992781954873</v>
      </c>
      <c r="W6" s="5">
        <f>Caso2!$S13</f>
        <v>100.00000072562358</v>
      </c>
      <c r="X6" s="5">
        <f>Caso3!$S13</f>
        <v>99.12751161904761</v>
      </c>
      <c r="Y6" s="5">
        <f>Caso4!$S13</f>
        <v>99.999997714285712</v>
      </c>
      <c r="Z6" s="5">
        <f>Caso5!$S13</f>
        <v>100.00000045714286</v>
      </c>
      <c r="AA6" s="5">
        <f>Caso6!$S13</f>
        <v>99.999990285714276</v>
      </c>
      <c r="AB6" s="5">
        <f>Caso7!$S13</f>
        <v>99.999970285714284</v>
      </c>
      <c r="AC6" s="5">
        <f>Caso8!$S13</f>
        <v>100</v>
      </c>
      <c r="AD6" s="5">
        <f>Caso9!$S13</f>
        <v>100.00000114285713</v>
      </c>
      <c r="AE6" s="5">
        <f>Caso10!$S13</f>
        <v>99.999995999999996</v>
      </c>
      <c r="AF6" s="5">
        <f>Caso1!$T13</f>
        <v>12.063053660818714</v>
      </c>
      <c r="AG6" s="5">
        <f>Caso2!$T13</f>
        <v>0.39715816804232801</v>
      </c>
      <c r="AH6" s="5">
        <f>Caso3!$T13</f>
        <v>2.2984049066666666E-3</v>
      </c>
      <c r="AI6" s="5">
        <f>Caso4!$T13</f>
        <v>12.89937431111111</v>
      </c>
      <c r="AJ6" s="5">
        <f>Caso5!$T13</f>
        <v>3.9981742666666666</v>
      </c>
      <c r="AK6" s="5">
        <f>Caso6!$T13</f>
        <v>4.3756503466666663</v>
      </c>
      <c r="AL6" s="5">
        <f>Caso7!$T13</f>
        <v>5.1884722866666664</v>
      </c>
      <c r="AM6" s="5">
        <f>Caso8!$T13</f>
        <v>4.775226906666667</v>
      </c>
      <c r="AN6" s="5">
        <f>Caso9!$T13</f>
        <v>4.3557061866666666</v>
      </c>
      <c r="AO6" s="5">
        <f>Caso10!$T13</f>
        <v>5.1889038066666675</v>
      </c>
    </row>
    <row r="7" spans="1:41" x14ac:dyDescent="0.3">
      <c r="A7" s="4">
        <v>2.9</v>
      </c>
      <c r="B7" s="4">
        <f>Caso1!$E14</f>
        <v>166.025407</v>
      </c>
      <c r="C7" s="4">
        <f>Caso2!$E14</f>
        <v>165.93538100000001</v>
      </c>
      <c r="D7" s="4">
        <f>Caso3!$E14</f>
        <v>165.92841000000001</v>
      </c>
      <c r="E7" s="4">
        <f>Caso4!$E14</f>
        <v>166.02466000000001</v>
      </c>
      <c r="F7" s="4">
        <f>Caso5!$E14</f>
        <v>166.33099100000001</v>
      </c>
      <c r="G7" s="4">
        <f>Caso6!$E14</f>
        <v>166.15311600000001</v>
      </c>
      <c r="H7" s="4">
        <f>Caso7!$E14</f>
        <v>165.80102299999999</v>
      </c>
      <c r="I7" s="4">
        <f>Caso8!$E14</f>
        <v>165.97619599999999</v>
      </c>
      <c r="J7" s="4">
        <f>Caso9!$E14</f>
        <v>166.15268</v>
      </c>
      <c r="K7" s="4">
        <f>Caso10!$E14</f>
        <v>165.80025000000001</v>
      </c>
      <c r="L7" s="4">
        <f>Caso1!$F14</f>
        <v>69.130418899999995</v>
      </c>
      <c r="M7" s="4">
        <f>Caso2!$F14</f>
        <v>61.853975300000002</v>
      </c>
      <c r="N7" s="4">
        <f>Caso3!$F14</f>
        <v>61.400146399999997</v>
      </c>
      <c r="O7" s="4">
        <f>Caso4!$F14</f>
        <v>71.670741300000003</v>
      </c>
      <c r="P7" s="4">
        <f>Caso5!$F14</f>
        <v>61.524346399999999</v>
      </c>
      <c r="Q7" s="4">
        <f>Caso6!$F14</f>
        <v>62.7001001</v>
      </c>
      <c r="R7" s="4">
        <f>Caso7!$F14</f>
        <v>64.807465500000006</v>
      </c>
      <c r="S7" s="4">
        <f>Caso8!$F14</f>
        <v>63.861530199999997</v>
      </c>
      <c r="T7" s="4">
        <f>Caso9!$F14</f>
        <v>63.644201799999998</v>
      </c>
      <c r="U7" s="4">
        <f>Caso10!$F14</f>
        <v>65.022802200000001</v>
      </c>
      <c r="V7" s="5">
        <f>Caso1!$S14</f>
        <v>99.999972731829573</v>
      </c>
      <c r="W7" s="5">
        <f>Caso2!$S14</f>
        <v>99.999998548752842</v>
      </c>
      <c r="X7" s="5">
        <f>Caso3!$S14</f>
        <v>99.99999161904762</v>
      </c>
      <c r="Y7" s="5">
        <f>Caso4!$S14</f>
        <v>99.999964190476192</v>
      </c>
      <c r="Z7" s="5">
        <f>Caso5!$S14</f>
        <v>99.999984228571435</v>
      </c>
      <c r="AA7" s="5">
        <f>Caso6!$S14</f>
        <v>99.99998502857143</v>
      </c>
      <c r="AB7" s="5">
        <f>Caso7!$S14</f>
        <v>99.999938628571442</v>
      </c>
      <c r="AC7" s="5">
        <f>Caso8!$S14</f>
        <v>99.99999161904762</v>
      </c>
      <c r="AD7" s="5">
        <f>Caso9!$S14</f>
        <v>99.999990285714276</v>
      </c>
      <c r="AE7" s="5">
        <f>Caso10!$S14</f>
        <v>100.00000114285713</v>
      </c>
      <c r="AF7" s="5">
        <f>Caso1!$T14</f>
        <v>18.134096842105262</v>
      </c>
      <c r="AG7" s="5">
        <f>Caso2!$T14</f>
        <v>3.4580884148148154</v>
      </c>
      <c r="AH7" s="5">
        <f>Caso3!$T14</f>
        <v>2.0225896622222224</v>
      </c>
      <c r="AI7" s="5">
        <f>Caso4!$T14</f>
        <v>18.252847555555554</v>
      </c>
      <c r="AJ7" s="5">
        <f>Caso5!$T14</f>
        <v>9.3134975733333345</v>
      </c>
      <c r="AK7" s="5">
        <f>Caso6!$T14</f>
        <v>9.6899438000000018</v>
      </c>
      <c r="AL7" s="5">
        <f>Caso7!$T14</f>
        <v>10.411254733333333</v>
      </c>
      <c r="AM7" s="5">
        <f>Caso8!$T14</f>
        <v>10.0789768</v>
      </c>
      <c r="AN7" s="5">
        <f>Caso9!$T14</f>
        <v>9.7397052533333337</v>
      </c>
      <c r="AO7" s="5">
        <f>Caso10!$T14</f>
        <v>10.472717733333333</v>
      </c>
    </row>
    <row r="8" spans="1:41" x14ac:dyDescent="0.3">
      <c r="A8" s="4">
        <v>3</v>
      </c>
      <c r="B8" s="4">
        <f>Caso1!$E15</f>
        <v>166.06162399999999</v>
      </c>
      <c r="C8" s="4">
        <f>Caso2!$E15</f>
        <v>165.96419299999999</v>
      </c>
      <c r="D8" s="4">
        <f>Caso3!$E15</f>
        <v>165.95744099999999</v>
      </c>
      <c r="E8" s="4">
        <f>Caso4!$E15</f>
        <v>166.05658</v>
      </c>
      <c r="F8" s="4">
        <f>Caso5!$E15</f>
        <v>166.34262000000001</v>
      </c>
      <c r="G8" s="4">
        <f>Caso6!$E15</f>
        <v>166.17608000000001</v>
      </c>
      <c r="H8" s="4">
        <f>Caso7!$E15</f>
        <v>165.845418</v>
      </c>
      <c r="I8" s="4">
        <f>Caso8!$E15</f>
        <v>166.010209</v>
      </c>
      <c r="J8" s="4">
        <f>Caso9!$E15</f>
        <v>166.17586</v>
      </c>
      <c r="K8" s="4">
        <f>Caso10!$E15</f>
        <v>165.84503100000001</v>
      </c>
      <c r="L8" s="4">
        <f>Caso1!$F15</f>
        <v>77.965848899999997</v>
      </c>
      <c r="M8" s="4">
        <f>Caso2!$F15</f>
        <v>63.3521243</v>
      </c>
      <c r="N8" s="4">
        <f>Caso3!$F15</f>
        <v>62.540273499999998</v>
      </c>
      <c r="O8" s="4">
        <f>Caso4!$F15</f>
        <v>82.244286500000001</v>
      </c>
      <c r="P8" s="4">
        <f>Caso5!$F15</f>
        <v>63.567474400000002</v>
      </c>
      <c r="Q8" s="4">
        <f>Caso6!$F15</f>
        <v>65.663832600000006</v>
      </c>
      <c r="R8" s="4">
        <f>Caso7!$F15</f>
        <v>71.088597899999996</v>
      </c>
      <c r="S8" s="4">
        <f>Caso8!$F15</f>
        <v>67.641887199999999</v>
      </c>
      <c r="T8" s="4">
        <f>Caso9!$F15</f>
        <v>66.166904599999995</v>
      </c>
      <c r="U8" s="4">
        <f>Caso10!$F15</f>
        <v>69.521738299999996</v>
      </c>
      <c r="V8" s="5">
        <f>Caso1!$S15</f>
        <v>99.999963107769418</v>
      </c>
      <c r="W8" s="5">
        <f>Caso2!$S15</f>
        <v>99.999992018140588</v>
      </c>
      <c r="X8" s="5">
        <f>Caso3!$S15</f>
        <v>99.999998476190484</v>
      </c>
      <c r="Y8" s="5">
        <f>Caso4!$S15</f>
        <v>99.99999009523809</v>
      </c>
      <c r="Z8" s="5">
        <f>Caso5!$S15</f>
        <v>99.999936228571443</v>
      </c>
      <c r="AA8" s="5">
        <f>Caso6!$S15</f>
        <v>99.99994651428571</v>
      </c>
      <c r="AB8" s="5">
        <f>Caso7!$S15</f>
        <v>100.01262388571428</v>
      </c>
      <c r="AC8" s="5">
        <f>Caso8!$S15</f>
        <v>99.999978666666678</v>
      </c>
      <c r="AD8" s="5">
        <f>Caso9!$S15</f>
        <v>99.999995999999996</v>
      </c>
      <c r="AE8" s="5">
        <f>Caso10!$S15</f>
        <v>100</v>
      </c>
      <c r="AF8" s="5">
        <f>Caso1!$T15</f>
        <v>24.262152046783626</v>
      </c>
      <c r="AG8" s="5">
        <f>Caso2!$T15</f>
        <v>8.3024188613756618</v>
      </c>
      <c r="AH8" s="5">
        <f>Caso3!$T15</f>
        <v>6.9168528266666662</v>
      </c>
      <c r="AI8" s="5">
        <f>Caso4!$T15</f>
        <v>23.6404912</v>
      </c>
      <c r="AJ8" s="5">
        <f>Caso5!$T15</f>
        <v>15.21396376</v>
      </c>
      <c r="AK8" s="5">
        <f>Caso6!$T15</f>
        <v>15.506584799999997</v>
      </c>
      <c r="AL8" s="5">
        <f>Caso7!$T15</f>
        <v>16.0213988</v>
      </c>
      <c r="AM8" s="5">
        <f>Caso8!$T15</f>
        <v>15.814009066666669</v>
      </c>
      <c r="AN8" s="5">
        <f>Caso9!$T15</f>
        <v>15.602758</v>
      </c>
      <c r="AO8" s="5">
        <f>Caso10!$T15</f>
        <v>16.127503333333333</v>
      </c>
    </row>
    <row r="9" spans="1:41" x14ac:dyDescent="0.3">
      <c r="A9" s="4">
        <v>3.1</v>
      </c>
      <c r="B9" s="4">
        <f>Caso1!$E16</f>
        <v>166.097634</v>
      </c>
      <c r="C9" s="4">
        <f>Caso2!$E16</f>
        <v>165.996375</v>
      </c>
      <c r="D9" s="4">
        <f>Caso3!$E16</f>
        <v>165.99318700000001</v>
      </c>
      <c r="E9" s="4">
        <f>Caso4!$E16</f>
        <v>166.088446</v>
      </c>
      <c r="F9" s="4">
        <f>Caso5!$E16</f>
        <v>166.354489</v>
      </c>
      <c r="G9" s="4">
        <f>Caso6!$E16</f>
        <v>166.199466</v>
      </c>
      <c r="H9" s="4">
        <f>Caso7!$E16</f>
        <v>165.89055999999999</v>
      </c>
      <c r="I9" s="4">
        <f>Caso8!$E16</f>
        <v>166.04478700000001</v>
      </c>
      <c r="J9" s="4">
        <f>Caso9!$E16</f>
        <v>166.199423</v>
      </c>
      <c r="K9" s="4">
        <f>Caso10!$E16</f>
        <v>165.89049199999999</v>
      </c>
      <c r="L9" s="4">
        <f>Caso1!$F16</f>
        <v>91.905237200000002</v>
      </c>
      <c r="M9" s="4">
        <f>Caso2!$F16</f>
        <v>66.460252600000004</v>
      </c>
      <c r="N9" s="4">
        <f>Caso3!$F16</f>
        <v>64.972854999999996</v>
      </c>
      <c r="O9" s="4">
        <f>Caso4!$F16</f>
        <v>98.325247899999994</v>
      </c>
      <c r="P9" s="4">
        <f>Caso5!$F16</f>
        <v>68.878544300000001</v>
      </c>
      <c r="Q9" s="4">
        <f>Caso6!$F16</f>
        <v>72.2101124</v>
      </c>
      <c r="R9" s="4">
        <f>Caso7!$F16</f>
        <v>82.515556900000007</v>
      </c>
      <c r="S9" s="4">
        <f>Caso8!$F16</f>
        <v>75.093207100000001</v>
      </c>
      <c r="T9" s="4">
        <f>Caso9!$F16</f>
        <v>70.959438199999994</v>
      </c>
      <c r="U9" s="4">
        <f>Caso10!$F16</f>
        <v>77.669331299999996</v>
      </c>
      <c r="V9" s="5">
        <f>Caso1!$S16</f>
        <v>99.999985563909775</v>
      </c>
      <c r="W9" s="5">
        <f>Caso2!$S16</f>
        <v>99.999997823129249</v>
      </c>
      <c r="X9" s="5">
        <f>Caso3!$S16</f>
        <v>99.999980190476194</v>
      </c>
      <c r="Y9" s="5">
        <f>Caso4!$S16</f>
        <v>99.99999009523809</v>
      </c>
      <c r="Z9" s="5">
        <f>Caso5!$S16</f>
        <v>100</v>
      </c>
      <c r="AA9" s="5">
        <f>Caso6!$S16</f>
        <v>100</v>
      </c>
      <c r="AB9" s="5">
        <f>Caso7!$S16</f>
        <v>100</v>
      </c>
      <c r="AC9" s="5">
        <f>Caso8!$S16</f>
        <v>99.999942095238083</v>
      </c>
      <c r="AD9" s="5">
        <f>Caso9!$S16</f>
        <v>99.999999428571428</v>
      </c>
      <c r="AE9" s="5">
        <f>Caso10!$S16</f>
        <v>99.999970285714284</v>
      </c>
      <c r="AF9" s="5">
        <f>Caso1!$T16</f>
        <v>30.361198222222221</v>
      </c>
      <c r="AG9" s="5">
        <f>Caso2!$T16</f>
        <v>13.713896126984126</v>
      </c>
      <c r="AH9" s="5">
        <f>Caso3!$T16</f>
        <v>12.942993244444445</v>
      </c>
      <c r="AI9" s="5">
        <f>Caso4!$T16</f>
        <v>29.027751555555557</v>
      </c>
      <c r="AJ9" s="5">
        <f>Caso5!$T16</f>
        <v>21.236615306666668</v>
      </c>
      <c r="AK9" s="5">
        <f>Caso6!$T16</f>
        <v>21.431869199999998</v>
      </c>
      <c r="AL9" s="5">
        <f>Caso7!$T16</f>
        <v>21.737574466666668</v>
      </c>
      <c r="AM9" s="5">
        <f>Caso8!$T16</f>
        <v>21.646747288888889</v>
      </c>
      <c r="AN9" s="5">
        <f>Caso9!$T16</f>
        <v>21.564393066666668</v>
      </c>
      <c r="AO9" s="5">
        <f>Caso10!$T16</f>
        <v>21.871608133333336</v>
      </c>
    </row>
    <row r="10" spans="1:41" x14ac:dyDescent="0.3">
      <c r="A10" s="4">
        <v>3.2</v>
      </c>
      <c r="B10" s="4">
        <f>Caso1!$E17</f>
        <v>166.133286</v>
      </c>
      <c r="C10" s="4">
        <f>Caso2!$E17</f>
        <v>166.02940000000001</v>
      </c>
      <c r="D10" s="4">
        <f>Caso3!$E17</f>
        <v>166.03065100000001</v>
      </c>
      <c r="E10" s="4">
        <f>Caso4!$E17</f>
        <v>166.120317</v>
      </c>
      <c r="F10" s="4">
        <f>Caso5!$E17</f>
        <v>166.36630400000001</v>
      </c>
      <c r="G10" s="4">
        <f>Caso6!$E17</f>
        <v>166.22277800000001</v>
      </c>
      <c r="H10" s="4">
        <f>Caso7!$E17</f>
        <v>165.93569299999999</v>
      </c>
      <c r="I10" s="4">
        <f>Caso8!$E17</f>
        <v>166.07930200000001</v>
      </c>
      <c r="J10" s="4">
        <f>Caso9!$E17</f>
        <v>166.22289900000001</v>
      </c>
      <c r="K10" s="4">
        <f>Caso10!$E17</f>
        <v>165.93593300000001</v>
      </c>
      <c r="L10" s="4">
        <f>Caso1!$F17</f>
        <v>110.31672399999999</v>
      </c>
      <c r="M10" s="4">
        <f>Caso2!$F17</f>
        <v>72.684186400000002</v>
      </c>
      <c r="N10" s="4">
        <f>Caso3!$F17</f>
        <v>70.017121700000004</v>
      </c>
      <c r="O10" s="4">
        <f>Caso4!$F17</f>
        <v>118.70204</v>
      </c>
      <c r="P10" s="4">
        <f>Caso5!$F17</f>
        <v>80.688191500000002</v>
      </c>
      <c r="Q10" s="4">
        <f>Caso6!$F17</f>
        <v>84.4722388</v>
      </c>
      <c r="R10" s="4">
        <f>Caso7!$F17</f>
        <v>96.775329600000006</v>
      </c>
      <c r="S10" s="4">
        <f>Caso8!$F17</f>
        <v>87.592223500000003</v>
      </c>
      <c r="T10" s="4">
        <f>Caso9!$F17</f>
        <v>80.119719799999999</v>
      </c>
      <c r="U10" s="4">
        <f>Caso10!$F17</f>
        <v>90.266408900000002</v>
      </c>
      <c r="V10" s="5">
        <f>Caso1!$S17</f>
        <v>100.000000802005</v>
      </c>
      <c r="W10" s="5">
        <f>Caso2!$S17</f>
        <v>99.999962993197258</v>
      </c>
      <c r="X10" s="5">
        <f>Caso3!$S17</f>
        <v>100</v>
      </c>
      <c r="Y10" s="5">
        <f>Caso4!$S17</f>
        <v>99.999990857142848</v>
      </c>
      <c r="Z10" s="5">
        <f>Caso5!$S17</f>
        <v>99.999972571428572</v>
      </c>
      <c r="AA10" s="5">
        <f>Caso6!$S17</f>
        <v>99.999980342857143</v>
      </c>
      <c r="AB10" s="5">
        <f>Caso7!$S17</f>
        <v>99.999915542857138</v>
      </c>
      <c r="AC10" s="5">
        <f>Caso8!$S17</f>
        <v>99.999974095238102</v>
      </c>
      <c r="AD10" s="5">
        <f>Caso9!$S17</f>
        <v>100.00000057142857</v>
      </c>
      <c r="AE10" s="5">
        <f>Caso10!$S17</f>
        <v>99.999989714285704</v>
      </c>
      <c r="AF10" s="5">
        <f>Caso1!$T17</f>
        <v>36.413397988304091</v>
      </c>
      <c r="AG10" s="5">
        <f>Caso2!$T17</f>
        <v>19.269193227513227</v>
      </c>
      <c r="AH10" s="5">
        <f>Caso3!$T17</f>
        <v>19.260190844444445</v>
      </c>
      <c r="AI10" s="5">
        <f>Caso4!$T17</f>
        <v>34.438032266666667</v>
      </c>
      <c r="AJ10" s="5">
        <f>Caso5!$T17</f>
        <v>27.233641333333335</v>
      </c>
      <c r="AK10" s="5">
        <f>Caso6!$T17</f>
        <v>27.341503066666665</v>
      </c>
      <c r="AL10" s="5">
        <f>Caso7!$T17</f>
        <v>27.454288466666672</v>
      </c>
      <c r="AM10" s="5">
        <f>Caso8!$T17</f>
        <v>27.473715377777779</v>
      </c>
      <c r="AN10" s="5">
        <f>Caso9!$T17</f>
        <v>27.507736399999999</v>
      </c>
      <c r="AO10" s="5">
        <f>Caso10!$T17</f>
        <v>27.619813733333334</v>
      </c>
    </row>
    <row r="11" spans="1:41" x14ac:dyDescent="0.3">
      <c r="A11" s="4">
        <v>3.3</v>
      </c>
      <c r="B11" s="4">
        <f>Caso1!$E18</f>
        <v>166.168791</v>
      </c>
      <c r="C11" s="4">
        <f>Caso2!$E18</f>
        <v>166.06249800000001</v>
      </c>
      <c r="D11" s="4">
        <f>Caso3!$E18</f>
        <v>166.068251</v>
      </c>
      <c r="E11" s="4">
        <f>Caso4!$E18</f>
        <v>166.15258900000001</v>
      </c>
      <c r="F11" s="4">
        <f>Caso5!$E18</f>
        <v>166.377949</v>
      </c>
      <c r="G11" s="4">
        <f>Caso6!$E18</f>
        <v>166.24583799999999</v>
      </c>
      <c r="H11" s="4">
        <f>Caso7!$E18</f>
        <v>165.98059599999999</v>
      </c>
      <c r="I11" s="4">
        <f>Caso8!$E18</f>
        <v>166.11356000000001</v>
      </c>
      <c r="J11" s="4">
        <f>Caso9!$E18</f>
        <v>166.24613299999999</v>
      </c>
      <c r="K11" s="4">
        <f>Caso10!$E18</f>
        <v>165.981178</v>
      </c>
      <c r="L11" s="4">
        <f>Caso1!$F18</f>
        <v>130.22797600000001</v>
      </c>
      <c r="M11" s="4">
        <f>Caso2!$F18</f>
        <v>83.691552299999998</v>
      </c>
      <c r="N11" s="4">
        <f>Caso3!$F18</f>
        <v>79.346055500000006</v>
      </c>
      <c r="O11" s="4">
        <f>Caso4!$F18</f>
        <v>137.506542</v>
      </c>
      <c r="P11" s="4">
        <f>Caso5!$F18</f>
        <v>99.815398200000004</v>
      </c>
      <c r="Q11" s="4">
        <f>Caso6!$F18</f>
        <v>102.684568</v>
      </c>
      <c r="R11" s="4">
        <f>Caso7!$F18</f>
        <v>113.289162</v>
      </c>
      <c r="S11" s="4">
        <f>Caso8!$F18</f>
        <v>104.96623200000001</v>
      </c>
      <c r="T11" s="4">
        <f>Caso9!$F18</f>
        <v>96.190377299999994</v>
      </c>
      <c r="U11" s="4">
        <f>Caso10!$F18</f>
        <v>106.81984799999999</v>
      </c>
      <c r="V11" s="5">
        <f>Caso1!$S18</f>
        <v>100</v>
      </c>
      <c r="W11" s="5">
        <f>Caso2!$S18</f>
        <v>99.999964444444444</v>
      </c>
      <c r="X11" s="5">
        <f>Caso3!$S18</f>
        <v>99.999942095238083</v>
      </c>
      <c r="Y11" s="5">
        <f>Caso4!$S18</f>
        <v>100</v>
      </c>
      <c r="Z11" s="5">
        <f>Caso5!$S18</f>
        <v>99.99997531428572</v>
      </c>
      <c r="AA11" s="5">
        <f>Caso6!$S18</f>
        <v>100.0000008</v>
      </c>
      <c r="AB11" s="5">
        <f>Caso7!$S18</f>
        <v>99.999992457142838</v>
      </c>
      <c r="AC11" s="5">
        <f>Caso8!$S18</f>
        <v>100.00000152380952</v>
      </c>
      <c r="AD11" s="5">
        <f>Caso9!$S18</f>
        <v>100.0000102857143</v>
      </c>
      <c r="AE11" s="5">
        <f>Caso10!$S18</f>
        <v>100.00000171428572</v>
      </c>
      <c r="AF11" s="5">
        <f>Caso1!$T18</f>
        <v>42.474538198830409</v>
      </c>
      <c r="AG11" s="5">
        <f>Caso2!$T18</f>
        <v>24.840647619047619</v>
      </c>
      <c r="AH11" s="5">
        <f>Caso3!$T18</f>
        <v>25.603515822222221</v>
      </c>
      <c r="AI11" s="5">
        <f>Caso4!$T18</f>
        <v>39.965215733333331</v>
      </c>
      <c r="AJ11" s="5">
        <f>Caso5!$T18</f>
        <v>33.148359200000002</v>
      </c>
      <c r="AK11" s="5">
        <f>Caso6!$T18</f>
        <v>33.194800533333336</v>
      </c>
      <c r="AL11" s="5">
        <f>Caso7!$T18</f>
        <v>33.1544016</v>
      </c>
      <c r="AM11" s="5">
        <f>Caso8!$T18</f>
        <v>33.268396266666663</v>
      </c>
      <c r="AN11" s="5">
        <f>Caso9!$T18</f>
        <v>33.398622400000001</v>
      </c>
      <c r="AO11" s="5">
        <f>Caso10!$T18</f>
        <v>33.357462200000001</v>
      </c>
    </row>
    <row r="12" spans="1:41" x14ac:dyDescent="0.3">
      <c r="A12" s="4">
        <v>3.4</v>
      </c>
      <c r="B12" s="4">
        <f>Caso1!$E19</f>
        <v>166.204397</v>
      </c>
      <c r="C12" s="4">
        <f>Caso2!$E19</f>
        <v>166.09542500000001</v>
      </c>
      <c r="D12" s="4">
        <f>Caso3!$E19</f>
        <v>166.10544400000001</v>
      </c>
      <c r="E12" s="4">
        <f>Caso4!$E19</f>
        <v>166.185227</v>
      </c>
      <c r="F12" s="4">
        <f>Caso5!$E19</f>
        <v>166.38940600000001</v>
      </c>
      <c r="G12" s="4">
        <f>Caso6!$E19</f>
        <v>166.26869400000001</v>
      </c>
      <c r="H12" s="4">
        <f>Caso7!$E19</f>
        <v>166.02544700000001</v>
      </c>
      <c r="I12" s="4">
        <f>Caso8!$E19</f>
        <v>166.147695</v>
      </c>
      <c r="J12" s="4">
        <f>Caso9!$E19</f>
        <v>166.26920999999999</v>
      </c>
      <c r="K12" s="4">
        <f>Caso10!$E19</f>
        <v>166.026431</v>
      </c>
      <c r="L12" s="4">
        <f>Caso1!$F19</f>
        <v>144.313546</v>
      </c>
      <c r="M12" s="4">
        <f>Caso2!$F19</f>
        <v>99.852890099999996</v>
      </c>
      <c r="N12" s="4">
        <f>Caso3!$F19</f>
        <v>93.479731000000001</v>
      </c>
      <c r="O12" s="4">
        <f>Caso4!$F19</f>
        <v>148.16742300000001</v>
      </c>
      <c r="P12" s="4">
        <f>Caso5!$F19</f>
        <v>125.820689</v>
      </c>
      <c r="Q12" s="4">
        <f>Caso6!$F19</f>
        <v>125.435872</v>
      </c>
      <c r="R12" s="4">
        <f>Caso7!$F19</f>
        <v>130.44463200000001</v>
      </c>
      <c r="S12" s="4">
        <f>Caso8!$F19</f>
        <v>125.11940300000001</v>
      </c>
      <c r="T12" s="4">
        <f>Caso9!$F19</f>
        <v>118.894988</v>
      </c>
      <c r="U12" s="4">
        <f>Caso10!$F19</f>
        <v>124.84451900000001</v>
      </c>
      <c r="V12" s="5">
        <f>Caso1!$S19</f>
        <v>99.999997593984943</v>
      </c>
      <c r="W12" s="5">
        <f>Caso2!$S19</f>
        <v>100.00000145124716</v>
      </c>
      <c r="X12" s="5">
        <f>Caso3!$S19</f>
        <v>99.999987047619044</v>
      </c>
      <c r="Y12" s="5">
        <f>Caso4!$S19</f>
        <v>100</v>
      </c>
      <c r="Z12" s="5">
        <f>Caso5!$S19</f>
        <v>99.999994971428578</v>
      </c>
      <c r="AA12" s="5">
        <f>Caso6!$S19</f>
        <v>99.999994171428568</v>
      </c>
      <c r="AB12" s="5">
        <f>Caso7!$S19</f>
        <v>99.99999954285714</v>
      </c>
      <c r="AC12" s="5">
        <f>Caso8!$S19</f>
        <v>99.999997714285712</v>
      </c>
      <c r="AD12" s="5">
        <f>Caso9!$S19</f>
        <v>100.00000114285713</v>
      </c>
      <c r="AE12" s="5">
        <f>Caso10!$S19</f>
        <v>99.999999428571428</v>
      </c>
      <c r="AF12" s="5">
        <f>Caso1!$T19</f>
        <v>48.598756116959066</v>
      </c>
      <c r="AG12" s="5">
        <f>Caso2!$T19</f>
        <v>30.392536550264548</v>
      </c>
      <c r="AH12" s="5">
        <f>Caso3!$T19</f>
        <v>31.884206755555553</v>
      </c>
      <c r="AI12" s="5">
        <f>Caso4!$T19</f>
        <v>45.594333688888888</v>
      </c>
      <c r="AJ12" s="5">
        <f>Caso5!$T19</f>
        <v>38.981402666666668</v>
      </c>
      <c r="AK12" s="5">
        <f>Caso6!$T19</f>
        <v>39.018985333333333</v>
      </c>
      <c r="AL12" s="5">
        <f>Caso7!$T19</f>
        <v>38.875798666666668</v>
      </c>
      <c r="AM12" s="5">
        <f>Caso8!$T19</f>
        <v>39.070166488888887</v>
      </c>
      <c r="AN12" s="5">
        <f>Caso9!$T19</f>
        <v>39.276619199999999</v>
      </c>
      <c r="AO12" s="5">
        <f>Caso10!$T19</f>
        <v>39.126438999999998</v>
      </c>
    </row>
    <row r="13" spans="1:41" x14ac:dyDescent="0.3">
      <c r="A13" s="4">
        <v>3.5</v>
      </c>
      <c r="B13" s="4">
        <f>Caso1!$E20</f>
        <v>166.23939200000001</v>
      </c>
      <c r="C13" s="4">
        <f>Caso2!$E20</f>
        <v>166.12824699999999</v>
      </c>
      <c r="D13" s="4">
        <f>Caso3!$E20</f>
        <v>166.14206899999999</v>
      </c>
      <c r="E13" s="4">
        <f>Caso4!$E20</f>
        <v>166.217478</v>
      </c>
      <c r="F13" s="4">
        <f>Caso5!$E20</f>
        <v>166.40094099999999</v>
      </c>
      <c r="G13" s="4">
        <f>Caso6!$E20</f>
        <v>166.29172600000001</v>
      </c>
      <c r="H13" s="4">
        <f>Caso7!$E20</f>
        <v>166.07060100000001</v>
      </c>
      <c r="I13" s="4">
        <f>Caso8!$E20</f>
        <v>166.182062</v>
      </c>
      <c r="J13" s="4">
        <f>Caso9!$E20</f>
        <v>166.29245499999999</v>
      </c>
      <c r="K13" s="4">
        <f>Caso10!$E20</f>
        <v>166.07193799999999</v>
      </c>
      <c r="L13" s="4">
        <f>Caso1!$F20</f>
        <v>151.35982899999999</v>
      </c>
      <c r="M13" s="4">
        <f>Caso2!$F20</f>
        <v>119.758368</v>
      </c>
      <c r="N13" s="4">
        <f>Caso3!$F20</f>
        <v>111.638047</v>
      </c>
      <c r="O13" s="4">
        <f>Caso4!$F20</f>
        <v>153.29718299999999</v>
      </c>
      <c r="P13" s="4">
        <f>Caso5!$F20</f>
        <v>149.73519200000001</v>
      </c>
      <c r="Q13" s="4">
        <f>Caso6!$F20</f>
        <v>144.481505</v>
      </c>
      <c r="R13" s="4">
        <f>Caso7!$F20</f>
        <v>143.55973</v>
      </c>
      <c r="S13" s="4">
        <f>Caso8!$F20</f>
        <v>141.22280900000001</v>
      </c>
      <c r="T13" s="4">
        <f>Caso9!$F20</f>
        <v>138.67389399999999</v>
      </c>
      <c r="U13" s="4">
        <f>Caso10!$F20</f>
        <v>138.893079</v>
      </c>
      <c r="V13" s="5">
        <f>Caso1!$S20</f>
        <v>100</v>
      </c>
      <c r="W13" s="5">
        <f>Caso2!$S20</f>
        <v>99.999992743764167</v>
      </c>
      <c r="X13" s="5">
        <f>Caso3!$S20</f>
        <v>99.999989333333346</v>
      </c>
      <c r="Y13" s="5">
        <f>Caso4!$S20</f>
        <v>100</v>
      </c>
      <c r="Z13" s="5">
        <f>Caso5!$S20</f>
        <v>99.999991542857146</v>
      </c>
      <c r="AA13" s="5">
        <f>Caso6!$S20</f>
        <v>99.999986399999983</v>
      </c>
      <c r="AB13" s="5">
        <f>Caso7!$S20</f>
        <v>99.999998285714284</v>
      </c>
      <c r="AC13" s="5">
        <f>Caso8!$S20</f>
        <v>99.999986285714272</v>
      </c>
      <c r="AD13" s="5">
        <f>Caso9!$S20</f>
        <v>99.999960000000016</v>
      </c>
      <c r="AE13" s="5">
        <f>Caso10!$S20</f>
        <v>99.99998742857143</v>
      </c>
      <c r="AF13" s="5">
        <f>Caso1!$T20</f>
        <v>54.629887906432749</v>
      </c>
      <c r="AG13" s="5">
        <f>Caso2!$T20</f>
        <v>35.948779005291009</v>
      </c>
      <c r="AH13" s="5">
        <f>Caso3!$T20</f>
        <v>38.083205155555554</v>
      </c>
      <c r="AI13" s="5">
        <f>Caso4!$T20</f>
        <v>51.15510782222222</v>
      </c>
      <c r="AJ13" s="5">
        <f>Caso5!$T20</f>
        <v>44.914712533333329</v>
      </c>
      <c r="AK13" s="5">
        <f>Caso6!$T20</f>
        <v>44.943055333333326</v>
      </c>
      <c r="AL13" s="5">
        <f>Caso7!$T20</f>
        <v>44.678234266666664</v>
      </c>
      <c r="AM13" s="5">
        <f>Caso8!$T20</f>
        <v>44.958400622222221</v>
      </c>
      <c r="AN13" s="5">
        <f>Caso9!$T20</f>
        <v>45.250129333333327</v>
      </c>
      <c r="AO13" s="5">
        <f>Caso10!$T20</f>
        <v>44.967002999999998</v>
      </c>
    </row>
    <row r="14" spans="1:41" x14ac:dyDescent="0.3">
      <c r="A14" s="4">
        <v>3.6</v>
      </c>
      <c r="B14" s="4">
        <f>Caso1!$E21</f>
        <v>166.27289500000001</v>
      </c>
      <c r="C14" s="4">
        <f>Caso2!$E21</f>
        <v>166.16133300000001</v>
      </c>
      <c r="D14" s="4">
        <f>Caso3!$E21</f>
        <v>166.17833300000001</v>
      </c>
      <c r="E14" s="4">
        <f>Caso4!$E21</f>
        <v>166.24876900000001</v>
      </c>
      <c r="F14" s="4">
        <f>Caso5!$E21</f>
        <v>166.412586</v>
      </c>
      <c r="G14" s="4">
        <f>Caso6!$E21</f>
        <v>166.314739</v>
      </c>
      <c r="H14" s="4">
        <f>Caso7!$E21</f>
        <v>166.11554699999999</v>
      </c>
      <c r="I14" s="4">
        <f>Caso8!$E21</f>
        <v>166.216239</v>
      </c>
      <c r="J14" s="4">
        <f>Caso9!$E21</f>
        <v>166.31555700000001</v>
      </c>
      <c r="K14" s="4">
        <f>Caso10!$E21</f>
        <v>166.117085</v>
      </c>
      <c r="L14" s="4">
        <f>Caso1!$F21</f>
        <v>154.959294</v>
      </c>
      <c r="M14" s="4">
        <f>Caso2!$F21</f>
        <v>137.61830900000001</v>
      </c>
      <c r="N14" s="4">
        <f>Caso3!$F21</f>
        <v>130.72806</v>
      </c>
      <c r="O14" s="4">
        <f>Caso4!$F21</f>
        <v>156.05382</v>
      </c>
      <c r="P14" s="4">
        <f>Caso5!$F21</f>
        <v>157.950389</v>
      </c>
      <c r="Q14" s="4">
        <f>Caso6!$F21</f>
        <v>153.214538</v>
      </c>
      <c r="R14" s="4">
        <f>Caso7!$F21</f>
        <v>150.71481299999999</v>
      </c>
      <c r="S14" s="4">
        <f>Caso8!$F21</f>
        <v>149.724638</v>
      </c>
      <c r="T14" s="4">
        <f>Caso9!$F21</f>
        <v>148.729118</v>
      </c>
      <c r="U14" s="4">
        <f>Caso10!$F21</f>
        <v>146.992526</v>
      </c>
      <c r="V14" s="5">
        <f>Caso1!$S21</f>
        <v>100</v>
      </c>
      <c r="W14" s="5">
        <f>Caso2!$S21</f>
        <v>100</v>
      </c>
      <c r="X14" s="5">
        <f>Caso3!$S21</f>
        <v>100</v>
      </c>
      <c r="Y14" s="5">
        <f>Caso4!$S21</f>
        <v>100</v>
      </c>
      <c r="Z14" s="5">
        <f>Caso5!$S21</f>
        <v>100</v>
      </c>
      <c r="AA14" s="5">
        <f>Caso6!$S21</f>
        <v>100.00000011428571</v>
      </c>
      <c r="AB14" s="5">
        <f>Caso7!$S21</f>
        <v>100.00000034285713</v>
      </c>
      <c r="AC14" s="5">
        <f>Caso8!$S21</f>
        <v>100</v>
      </c>
      <c r="AD14" s="5">
        <f>Caso9!$S21</f>
        <v>100</v>
      </c>
      <c r="AE14" s="5">
        <f>Caso10!$S21</f>
        <v>100.00000057142857</v>
      </c>
      <c r="AF14" s="5">
        <f>Caso1!$T21</f>
        <v>60.388551391812875</v>
      </c>
      <c r="AG14" s="5">
        <f>Caso2!$T21</f>
        <v>41.594394497354493</v>
      </c>
      <c r="AH14" s="5">
        <f>Caso3!$T21</f>
        <v>44.253162577777772</v>
      </c>
      <c r="AI14" s="5">
        <f>Caso4!$T21</f>
        <v>56.530858577777778</v>
      </c>
      <c r="AJ14" s="5">
        <f>Caso5!$T21</f>
        <v>50.960438666666668</v>
      </c>
      <c r="AK14" s="5">
        <f>Caso6!$T21</f>
        <v>50.896751466666664</v>
      </c>
      <c r="AL14" s="5">
        <f>Caso7!$T21</f>
        <v>50.474507999999993</v>
      </c>
      <c r="AM14" s="5">
        <f>Caso8!$T21</f>
        <v>50.837038044444441</v>
      </c>
      <c r="AN14" s="5">
        <f>Caso9!$T21</f>
        <v>51.213069466666667</v>
      </c>
      <c r="AO14" s="5">
        <f>Caso10!$T21</f>
        <v>50.776840999999997</v>
      </c>
    </row>
    <row r="15" spans="1:41" x14ac:dyDescent="0.3">
      <c r="A15" s="4">
        <v>3.7</v>
      </c>
      <c r="B15" s="4">
        <f>Caso1!$E22</f>
        <v>166.30435900000001</v>
      </c>
      <c r="C15" s="4">
        <f>Caso2!$E22</f>
        <v>166.19454400000001</v>
      </c>
      <c r="D15" s="4">
        <f>Caso3!$E22</f>
        <v>166.21438599999999</v>
      </c>
      <c r="E15" s="4">
        <f>Caso4!$E22</f>
        <v>166.27871999999999</v>
      </c>
      <c r="F15" s="4">
        <f>Caso5!$E22</f>
        <v>166.42381900000001</v>
      </c>
      <c r="G15" s="4">
        <f>Caso6!$E22</f>
        <v>166.337005</v>
      </c>
      <c r="H15" s="4">
        <f>Caso7!$E22</f>
        <v>166.15927500000001</v>
      </c>
      <c r="I15" s="4">
        <f>Caso8!$E22</f>
        <v>166.24937199999999</v>
      </c>
      <c r="J15" s="4">
        <f>Caso9!$E22</f>
        <v>166.337864</v>
      </c>
      <c r="K15" s="4">
        <f>Caso10!$E22</f>
        <v>166.16092699999999</v>
      </c>
      <c r="L15" s="4">
        <f>Caso1!$F22</f>
        <v>157.05121299999999</v>
      </c>
      <c r="M15" s="4">
        <f>Caso2!$F22</f>
        <v>147.822441</v>
      </c>
      <c r="N15" s="4">
        <f>Caso3!$F22</f>
        <v>144.081108</v>
      </c>
      <c r="O15" s="4">
        <f>Caso4!$F22</f>
        <v>157.73450299999999</v>
      </c>
      <c r="P15" s="4">
        <f>Caso5!$F22</f>
        <v>160.56937600000001</v>
      </c>
      <c r="Q15" s="4">
        <f>Caso6!$F22</f>
        <v>156.95455000000001</v>
      </c>
      <c r="R15" s="4">
        <f>Caso7!$F22</f>
        <v>154.43901099999999</v>
      </c>
      <c r="S15" s="4">
        <f>Caso8!$F22</f>
        <v>153.98410100000001</v>
      </c>
      <c r="T15" s="4">
        <f>Caso9!$F22</f>
        <v>153.547788</v>
      </c>
      <c r="U15" s="4">
        <f>Caso10!$F22</f>
        <v>151.48144300000001</v>
      </c>
      <c r="V15" s="5">
        <f>Caso1!$S22</f>
        <v>100</v>
      </c>
      <c r="W15" s="5">
        <f>Caso2!$S22</f>
        <v>100</v>
      </c>
      <c r="X15" s="5">
        <f>Caso3!$S22</f>
        <v>99.999997714285712</v>
      </c>
      <c r="Y15" s="5">
        <f>Caso4!$S22</f>
        <v>100</v>
      </c>
      <c r="Z15" s="5">
        <f>Caso5!$S22</f>
        <v>99.999993828571419</v>
      </c>
      <c r="AA15" s="5">
        <f>Caso6!$S22</f>
        <v>100</v>
      </c>
      <c r="AB15" s="5">
        <f>Caso7!$S22</f>
        <v>100</v>
      </c>
      <c r="AC15" s="5">
        <f>Caso8!$S22</f>
        <v>100</v>
      </c>
      <c r="AD15" s="5">
        <f>Caso9!$S22</f>
        <v>100</v>
      </c>
      <c r="AE15" s="5">
        <f>Caso10!$S22</f>
        <v>100</v>
      </c>
      <c r="AF15" s="5">
        <f>Caso1!$T22</f>
        <v>65.773936093567258</v>
      </c>
      <c r="AG15" s="5">
        <f>Caso2!$T22</f>
        <v>47.294167026455028</v>
      </c>
      <c r="AH15" s="5">
        <f>Caso3!$T22</f>
        <v>50.426579466666674</v>
      </c>
      <c r="AI15" s="5">
        <f>Caso4!$T22</f>
        <v>61.652811555555559</v>
      </c>
      <c r="AJ15" s="5">
        <f>Caso5!$T22</f>
        <v>56.781441066666666</v>
      </c>
      <c r="AK15" s="5">
        <f>Caso6!$T22</f>
        <v>56.647945866666667</v>
      </c>
      <c r="AL15" s="5">
        <f>Caso7!$T22</f>
        <v>56.105384799999996</v>
      </c>
      <c r="AM15" s="5">
        <f>Caso8!$T22</f>
        <v>56.526441066666663</v>
      </c>
      <c r="AN15" s="5">
        <f>Caso9!$T22</f>
        <v>56.959786133333324</v>
      </c>
      <c r="AO15" s="5">
        <f>Caso10!$T22</f>
        <v>56.408575800000001</v>
      </c>
    </row>
    <row r="16" spans="1:41" x14ac:dyDescent="0.3">
      <c r="A16" s="4">
        <v>3.8</v>
      </c>
      <c r="B16" s="4">
        <f>Caso1!$E23</f>
        <v>166.33341999999999</v>
      </c>
      <c r="C16" s="4">
        <f>Caso2!$E23</f>
        <v>166.22709399999999</v>
      </c>
      <c r="D16" s="4">
        <f>Caso3!$E23</f>
        <v>166.24945399999999</v>
      </c>
      <c r="E16" s="4">
        <f>Caso4!$E23</f>
        <v>166.30702700000001</v>
      </c>
      <c r="F16" s="4">
        <f>Caso5!$E23</f>
        <v>166.43442400000001</v>
      </c>
      <c r="G16" s="4">
        <f>Caso6!$E23</f>
        <v>166.35811799999999</v>
      </c>
      <c r="H16" s="4">
        <f>Caso7!$E23</f>
        <v>166.20105799999999</v>
      </c>
      <c r="I16" s="4">
        <f>Caso8!$E23</f>
        <v>166.28089800000001</v>
      </c>
      <c r="J16" s="4">
        <f>Caso9!$E23</f>
        <v>166.35899499999999</v>
      </c>
      <c r="K16" s="4">
        <f>Caso10!$E23</f>
        <v>166.20277300000001</v>
      </c>
      <c r="L16" s="4">
        <f>Caso1!$F23</f>
        <v>158.40604500000001</v>
      </c>
      <c r="M16" s="4">
        <f>Caso2!$F23</f>
        <v>152.88754299999999</v>
      </c>
      <c r="N16" s="4">
        <f>Caso3!$F23</f>
        <v>150.94361799999999</v>
      </c>
      <c r="O16" s="4">
        <f>Caso4!$F23</f>
        <v>158.861031</v>
      </c>
      <c r="P16" s="4">
        <f>Caso5!$F23</f>
        <v>161.76886999999999</v>
      </c>
      <c r="Q16" s="4">
        <f>Caso6!$F23</f>
        <v>158.89375200000001</v>
      </c>
      <c r="R16" s="4">
        <f>Caso7!$F23</f>
        <v>156.59085899999999</v>
      </c>
      <c r="S16" s="4">
        <f>Caso8!$F23</f>
        <v>156.39144400000001</v>
      </c>
      <c r="T16" s="4">
        <f>Caso9!$F23</f>
        <v>156.209791</v>
      </c>
      <c r="U16" s="4">
        <f>Caso10!$F23</f>
        <v>154.186633</v>
      </c>
      <c r="V16" s="5">
        <f>Caso1!$S23</f>
        <v>99.999995989974934</v>
      </c>
      <c r="W16" s="5">
        <f>Caso2!$S23</f>
        <v>100</v>
      </c>
      <c r="X16" s="5">
        <f>Caso3!$S23</f>
        <v>100</v>
      </c>
      <c r="Y16" s="5">
        <f>Caso4!$S23</f>
        <v>99.999997714285712</v>
      </c>
      <c r="Z16" s="5">
        <f>Caso5!$S23</f>
        <v>99.999999314285716</v>
      </c>
      <c r="AA16" s="5">
        <f>Caso6!$S23</f>
        <v>100</v>
      </c>
      <c r="AB16" s="5">
        <f>Caso7!$S23</f>
        <v>100</v>
      </c>
      <c r="AC16" s="5">
        <f>Caso8!$S23</f>
        <v>100</v>
      </c>
      <c r="AD16" s="5">
        <f>Caso9!$S23</f>
        <v>100</v>
      </c>
      <c r="AE16" s="5">
        <f>Caso10!$S23</f>
        <v>100</v>
      </c>
      <c r="AF16" s="5">
        <f>Caso1!$T23</f>
        <v>70.724816654970752</v>
      </c>
      <c r="AG16" s="5">
        <f>Caso2!$T23</f>
        <v>52.878029968253962</v>
      </c>
      <c r="AH16" s="5">
        <f>Caso3!$T23</f>
        <v>56.440193066666666</v>
      </c>
      <c r="AI16" s="5">
        <f>Caso4!$T23</f>
        <v>66.469936711111103</v>
      </c>
      <c r="AJ16" s="5">
        <f>Caso5!$T23</f>
        <v>62.252065866666669</v>
      </c>
      <c r="AK16" s="5">
        <f>Caso6!$T23</f>
        <v>62.078826266666653</v>
      </c>
      <c r="AL16" s="5">
        <f>Caso7!$T23</f>
        <v>61.466115800000004</v>
      </c>
      <c r="AM16" s="5">
        <f>Caso8!$T23</f>
        <v>61.919257155555556</v>
      </c>
      <c r="AN16" s="5">
        <f>Caso9!$T23</f>
        <v>62.3817016</v>
      </c>
      <c r="AO16" s="5">
        <f>Caso10!$T23</f>
        <v>61.764082799999997</v>
      </c>
    </row>
    <row r="17" spans="1:41" x14ac:dyDescent="0.3">
      <c r="A17" s="4">
        <v>3.9</v>
      </c>
      <c r="B17" s="4">
        <f>Caso1!$E24</f>
        <v>166.35983400000001</v>
      </c>
      <c r="C17" s="4">
        <f>Caso2!$E24</f>
        <v>166.25840600000001</v>
      </c>
      <c r="D17" s="4">
        <f>Caso3!$E24</f>
        <v>166.282681</v>
      </c>
      <c r="E17" s="4">
        <f>Caso4!$E24</f>
        <v>166.33343199999999</v>
      </c>
      <c r="F17" s="4">
        <f>Caso5!$E24</f>
        <v>166.44429199999999</v>
      </c>
      <c r="G17" s="4">
        <f>Caso6!$E24</f>
        <v>166.377835</v>
      </c>
      <c r="H17" s="4">
        <f>Caso7!$E24</f>
        <v>166.24038400000001</v>
      </c>
      <c r="I17" s="4">
        <f>Caso8!$E24</f>
        <v>166.31044399999999</v>
      </c>
      <c r="J17" s="4">
        <f>Caso9!$E24</f>
        <v>166.37871200000001</v>
      </c>
      <c r="K17" s="4">
        <f>Caso10!$E24</f>
        <v>166.242118</v>
      </c>
      <c r="L17" s="4">
        <f>Caso1!$F24</f>
        <v>159.35622900000001</v>
      </c>
      <c r="M17" s="4">
        <f>Caso2!$F24</f>
        <v>155.672056</v>
      </c>
      <c r="N17" s="4">
        <f>Caso3!$F24</f>
        <v>154.551042</v>
      </c>
      <c r="O17" s="4">
        <f>Caso4!$F24</f>
        <v>159.670423</v>
      </c>
      <c r="P17" s="4">
        <f>Caso5!$F24</f>
        <v>162.450525</v>
      </c>
      <c r="Q17" s="4">
        <f>Caso6!$F24</f>
        <v>160.064131</v>
      </c>
      <c r="R17" s="4">
        <f>Caso7!$F24</f>
        <v>157.973714</v>
      </c>
      <c r="S17" s="4">
        <f>Caso8!$F24</f>
        <v>157.91577899999999</v>
      </c>
      <c r="T17" s="4">
        <f>Caso9!$F24</f>
        <v>157.87184500000001</v>
      </c>
      <c r="U17" s="4">
        <f>Caso10!$F24</f>
        <v>155.96824899999999</v>
      </c>
      <c r="V17" s="5">
        <f>Caso1!$S24</f>
        <v>99.999998395989991</v>
      </c>
      <c r="W17" s="5">
        <f>Caso2!$S24</f>
        <v>100</v>
      </c>
      <c r="X17" s="5">
        <f>Caso3!$S24</f>
        <v>100</v>
      </c>
      <c r="Y17" s="5">
        <f>Caso4!$S24</f>
        <v>99.999999238095242</v>
      </c>
      <c r="Z17" s="5">
        <f>Caso5!$S24</f>
        <v>99.999999771428577</v>
      </c>
      <c r="AA17" s="5">
        <f>Caso6!$S24</f>
        <v>99.999998399999996</v>
      </c>
      <c r="AB17" s="5">
        <f>Caso7!$S24</f>
        <v>100</v>
      </c>
      <c r="AC17" s="5">
        <f>Caso8!$S24</f>
        <v>100</v>
      </c>
      <c r="AD17" s="5">
        <f>Caso9!$S24</f>
        <v>99.999994857142866</v>
      </c>
      <c r="AE17" s="5">
        <f>Caso10!$S24</f>
        <v>100</v>
      </c>
      <c r="AF17" s="5">
        <f>Caso1!$T24</f>
        <v>75.203450947368424</v>
      </c>
      <c r="AG17" s="5">
        <f>Caso2!$T24</f>
        <v>58.231675851851854</v>
      </c>
      <c r="AH17" s="5">
        <f>Caso3!$T24</f>
        <v>62.124162044444446</v>
      </c>
      <c r="AI17" s="5">
        <f>Caso4!$T24</f>
        <v>70.94156186666666</v>
      </c>
      <c r="AJ17" s="5">
        <f>Caso5!$T24</f>
        <v>67.317252533333345</v>
      </c>
      <c r="AK17" s="5">
        <f>Caso6!$T24</f>
        <v>67.127444800000006</v>
      </c>
      <c r="AL17" s="5">
        <f>Caso7!$T24</f>
        <v>66.489782599999998</v>
      </c>
      <c r="AM17" s="5">
        <f>Caso8!$T24</f>
        <v>66.950944800000002</v>
      </c>
      <c r="AN17" s="5">
        <f>Caso9!$T24</f>
        <v>67.417744133333343</v>
      </c>
      <c r="AO17" s="5">
        <f>Caso10!$T24</f>
        <v>66.778049333333328</v>
      </c>
    </row>
    <row r="18" spans="1:41" x14ac:dyDescent="0.3">
      <c r="A18" s="4">
        <v>4</v>
      </c>
      <c r="B18" s="4">
        <f>Caso1!$E25</f>
        <v>166.38346200000001</v>
      </c>
      <c r="C18" s="4">
        <f>Caso2!$E25</f>
        <v>166.28810799999999</v>
      </c>
      <c r="D18" s="4">
        <f>Caso3!$E25</f>
        <v>166.31356299999999</v>
      </c>
      <c r="E18" s="4">
        <f>Caso4!$E25</f>
        <v>166.357731</v>
      </c>
      <c r="F18" s="4">
        <f>Caso5!$E25</f>
        <v>166.45334800000001</v>
      </c>
      <c r="G18" s="4">
        <f>Caso6!$E25</f>
        <v>166.39599000000001</v>
      </c>
      <c r="H18" s="4">
        <f>Caso7!$E25</f>
        <v>166.27686199999999</v>
      </c>
      <c r="I18" s="4">
        <f>Caso8!$E25</f>
        <v>166.33773500000001</v>
      </c>
      <c r="J18" s="4">
        <f>Caso9!$E25</f>
        <v>166.396849</v>
      </c>
      <c r="K18" s="4">
        <f>Caso10!$E25</f>
        <v>166.27857700000001</v>
      </c>
      <c r="L18" s="4">
        <f>Caso1!$F25</f>
        <v>160.06302500000001</v>
      </c>
      <c r="M18" s="4">
        <f>Caso2!$F25</f>
        <v>157.39433099999999</v>
      </c>
      <c r="N18" s="4">
        <f>Caso3!$F25</f>
        <v>156.6865</v>
      </c>
      <c r="O18" s="4">
        <f>Caso4!$F25</f>
        <v>160.283186</v>
      </c>
      <c r="P18" s="4">
        <f>Caso5!$F25</f>
        <v>162.89102399999999</v>
      </c>
      <c r="Q18" s="4">
        <f>Caso6!$F25</f>
        <v>160.847182</v>
      </c>
      <c r="R18" s="4">
        <f>Caso7!$F25</f>
        <v>158.93898300000001</v>
      </c>
      <c r="S18" s="4">
        <f>Caso8!$F25</f>
        <v>158.96643499999999</v>
      </c>
      <c r="T18" s="4">
        <f>Caso9!$F25</f>
        <v>159.004277</v>
      </c>
      <c r="U18" s="4">
        <f>Caso10!$F25</f>
        <v>157.22823500000001</v>
      </c>
      <c r="V18" s="5">
        <f>Caso1!$S25</f>
        <v>99.999999197994995</v>
      </c>
      <c r="W18" s="5">
        <f>Caso2!$S25</f>
        <v>100</v>
      </c>
      <c r="X18" s="5">
        <f>Caso3!$S25</f>
        <v>100</v>
      </c>
      <c r="Y18" s="5">
        <f>Caso4!$S25</f>
        <v>99.999999238095242</v>
      </c>
      <c r="Z18" s="5">
        <f>Caso5!$S25</f>
        <v>100</v>
      </c>
      <c r="AA18" s="5">
        <f>Caso6!$S25</f>
        <v>99.999999428571428</v>
      </c>
      <c r="AB18" s="5">
        <f>Caso7!$S25</f>
        <v>99.999998057142861</v>
      </c>
      <c r="AC18" s="5">
        <f>Caso8!$S25</f>
        <v>99.999997714285712</v>
      </c>
      <c r="AD18" s="5">
        <f>Caso9!$S25</f>
        <v>99.999998285714284</v>
      </c>
      <c r="AE18" s="5">
        <f>Caso10!$S25</f>
        <v>100</v>
      </c>
      <c r="AF18" s="5">
        <f>Caso1!$T25</f>
        <v>79.191031485380108</v>
      </c>
      <c r="AG18" s="5">
        <f>Caso2!$T25</f>
        <v>63.28859817989418</v>
      </c>
      <c r="AH18" s="5">
        <f>Caso3!$T25</f>
        <v>67.386677066666664</v>
      </c>
      <c r="AI18" s="5">
        <f>Caso4!$T25</f>
        <v>75.037030488888902</v>
      </c>
      <c r="AJ18" s="5">
        <f>Caso5!$T25</f>
        <v>71.943242400000003</v>
      </c>
      <c r="AK18" s="5">
        <f>Caso6!$T25</f>
        <v>71.754248533333325</v>
      </c>
      <c r="AL18" s="5">
        <f>Caso7!$T25</f>
        <v>71.128518666666665</v>
      </c>
      <c r="AM18" s="5">
        <f>Caso8!$T25</f>
        <v>71.577393333333333</v>
      </c>
      <c r="AN18" s="5">
        <f>Caso9!$T25</f>
        <v>72.028581333333335</v>
      </c>
      <c r="AO18" s="5">
        <f>Caso10!$T25</f>
        <v>71.403387333333328</v>
      </c>
    </row>
    <row r="19" spans="1:41" x14ac:dyDescent="0.3">
      <c r="A19" s="4">
        <v>4.0999999999999996</v>
      </c>
      <c r="B19" s="4">
        <f>Caso1!$E26</f>
        <v>166.40427199999999</v>
      </c>
      <c r="C19" s="4">
        <f>Caso2!$E26</f>
        <v>166.31591700000001</v>
      </c>
      <c r="D19" s="4">
        <f>Caso3!$E26</f>
        <v>166.34179499999999</v>
      </c>
      <c r="E19" s="4">
        <f>Caso4!$E26</f>
        <v>166.37978699999999</v>
      </c>
      <c r="F19" s="4">
        <f>Caso5!$E26</f>
        <v>166.461547</v>
      </c>
      <c r="G19" s="4">
        <f>Caso6!$E26</f>
        <v>166.412474</v>
      </c>
      <c r="H19" s="4">
        <f>Caso7!$E26</f>
        <v>166.31020799999999</v>
      </c>
      <c r="I19" s="4">
        <f>Caso8!$E26</f>
        <v>166.362585</v>
      </c>
      <c r="J19" s="4">
        <f>Caso9!$E26</f>
        <v>166.413297</v>
      </c>
      <c r="K19" s="4">
        <f>Caso10!$E26</f>
        <v>166.31186299999999</v>
      </c>
      <c r="L19" s="4">
        <f>Caso1!$F26</f>
        <v>160.61258100000001</v>
      </c>
      <c r="M19" s="4">
        <f>Caso2!$F26</f>
        <v>158.559989</v>
      </c>
      <c r="N19" s="4">
        <f>Caso3!$F26</f>
        <v>158.085835</v>
      </c>
      <c r="O19" s="4">
        <f>Caso4!$F26</f>
        <v>160.76619500000001</v>
      </c>
      <c r="P19" s="4">
        <f>Caso5!$F26</f>
        <v>163.20075</v>
      </c>
      <c r="Q19" s="4">
        <f>Caso6!$F26</f>
        <v>161.410359</v>
      </c>
      <c r="R19" s="4">
        <f>Caso7!$F26</f>
        <v>159.65616900000001</v>
      </c>
      <c r="S19" s="4">
        <f>Caso8!$F26</f>
        <v>159.73745500000001</v>
      </c>
      <c r="T19" s="4">
        <f>Caso9!$F26</f>
        <v>159.82612499999999</v>
      </c>
      <c r="U19" s="4">
        <f>Caso10!$F26</f>
        <v>158.16982300000001</v>
      </c>
      <c r="V19" s="5">
        <f>Caso1!$S26</f>
        <v>99.999999197994995</v>
      </c>
      <c r="W19" s="5">
        <f>Caso2!$S26</f>
        <v>99.99999709750567</v>
      </c>
      <c r="X19" s="5">
        <f>Caso3!$S26</f>
        <v>99.999994666666666</v>
      </c>
      <c r="Y19" s="5">
        <f>Caso4!$S26</f>
        <v>100</v>
      </c>
      <c r="Z19" s="5">
        <f>Caso5!$S26</f>
        <v>100</v>
      </c>
      <c r="AA19" s="5">
        <f>Caso6!$S26</f>
        <v>99.999999771428577</v>
      </c>
      <c r="AB19" s="5">
        <f>Caso7!$S26</f>
        <v>99.999998971428582</v>
      </c>
      <c r="AC19" s="5">
        <f>Caso8!$S26</f>
        <v>99.999999238095242</v>
      </c>
      <c r="AD19" s="5">
        <f>Caso9!$S26</f>
        <v>99.999999428571428</v>
      </c>
      <c r="AE19" s="5">
        <f>Caso10!$S26</f>
        <v>99.999997714285726</v>
      </c>
      <c r="AF19" s="5">
        <f>Caso1!$T26</f>
        <v>82.687088280701744</v>
      </c>
      <c r="AG19" s="5">
        <f>Caso2!$T26</f>
        <v>68.002408465608468</v>
      </c>
      <c r="AH19" s="5">
        <f>Caso3!$T26</f>
        <v>72.177416177777772</v>
      </c>
      <c r="AI19" s="5">
        <f>Caso4!$T26</f>
        <v>78.736911822222226</v>
      </c>
      <c r="AJ19" s="5">
        <f>Caso5!$T26</f>
        <v>76.111578399999999</v>
      </c>
      <c r="AK19" s="5">
        <f>Caso6!$T26</f>
        <v>75.935513866666668</v>
      </c>
      <c r="AL19" s="5">
        <f>Caso7!$T26</f>
        <v>75.34996000000001</v>
      </c>
      <c r="AM19" s="5">
        <f>Caso8!$T26</f>
        <v>75.770679733333338</v>
      </c>
      <c r="AN19" s="5">
        <f>Caso9!$T26</f>
        <v>76.190908533333342</v>
      </c>
      <c r="AO19" s="5">
        <f>Caso10!$T26</f>
        <v>75.607294666666675</v>
      </c>
    </row>
    <row r="20" spans="1:41" x14ac:dyDescent="0.3">
      <c r="A20" s="4">
        <v>4.2</v>
      </c>
      <c r="B20" s="4">
        <f>Caso1!$E27</f>
        <v>166.42233300000001</v>
      </c>
      <c r="C20" s="4">
        <f>Caso2!$E27</f>
        <v>166.34161900000001</v>
      </c>
      <c r="D20" s="4">
        <f>Caso3!$E27</f>
        <v>166.36721199999999</v>
      </c>
      <c r="E20" s="4">
        <f>Caso4!$E27</f>
        <v>166.39953199999999</v>
      </c>
      <c r="F20" s="4">
        <f>Caso5!$E27</f>
        <v>166.46887100000001</v>
      </c>
      <c r="G20" s="4">
        <f>Caso6!$E27</f>
        <v>166.427234</v>
      </c>
      <c r="H20" s="4">
        <f>Caso7!$E27</f>
        <v>166.34024600000001</v>
      </c>
      <c r="I20" s="4">
        <f>Caso8!$E27</f>
        <v>166.38488699999999</v>
      </c>
      <c r="J20" s="4">
        <f>Caso9!$E27</f>
        <v>166.42800700000001</v>
      </c>
      <c r="K20" s="4">
        <f>Caso10!$E27</f>
        <v>166.341812</v>
      </c>
      <c r="L20" s="4">
        <f>Caso1!$F27</f>
        <v>161.05456000000001</v>
      </c>
      <c r="M20" s="4">
        <f>Caso2!$F27</f>
        <v>159.403279</v>
      </c>
      <c r="N20" s="4">
        <f>Caso3!$F27</f>
        <v>159.07482099999999</v>
      </c>
      <c r="O20" s="4">
        <f>Caso4!$F27</f>
        <v>161.15916999999999</v>
      </c>
      <c r="P20" s="4">
        <f>Caso5!$F27</f>
        <v>163.43185399999999</v>
      </c>
      <c r="Q20" s="4">
        <f>Caso6!$F27</f>
        <v>161.83736999999999</v>
      </c>
      <c r="R20" s="4">
        <f>Caso7!$F27</f>
        <v>160.21508299999999</v>
      </c>
      <c r="S20" s="4">
        <f>Caso8!$F27</f>
        <v>160.33070900000001</v>
      </c>
      <c r="T20" s="4">
        <f>Caso9!$F27</f>
        <v>160.45130800000001</v>
      </c>
      <c r="U20" s="4">
        <f>Caso10!$F27</f>
        <v>158.90413899999999</v>
      </c>
      <c r="V20" s="5">
        <f>Caso1!$S27</f>
        <v>100</v>
      </c>
      <c r="W20" s="5">
        <f>Caso2!$S27</f>
        <v>99.999998548752842</v>
      </c>
      <c r="X20" s="5">
        <f>Caso3!$S27</f>
        <v>99.999997714285712</v>
      </c>
      <c r="Y20" s="5">
        <f>Caso4!$S27</f>
        <v>100</v>
      </c>
      <c r="Z20" s="5">
        <f>Caso5!$S27</f>
        <v>100</v>
      </c>
      <c r="AA20" s="5">
        <f>Caso6!$S27</f>
        <v>99.999999885714288</v>
      </c>
      <c r="AB20" s="5">
        <f>Caso7!$S27</f>
        <v>99.999999314285716</v>
      </c>
      <c r="AC20" s="5">
        <f>Caso8!$S27</f>
        <v>99.999999238095242</v>
      </c>
      <c r="AD20" s="5">
        <f>Caso9!$S27</f>
        <v>99.999999428571428</v>
      </c>
      <c r="AE20" s="5">
        <f>Caso10!$S27</f>
        <v>99.99999885714287</v>
      </c>
      <c r="AF20" s="5">
        <f>Caso1!$T27</f>
        <v>85.70760056140351</v>
      </c>
      <c r="AG20" s="5">
        <f>Caso2!$T27</f>
        <v>72.339863788359779</v>
      </c>
      <c r="AH20" s="5">
        <f>Caso3!$T27</f>
        <v>76.471980977777775</v>
      </c>
      <c r="AI20" s="5">
        <f>Caso4!$T27</f>
        <v>82.033949511111103</v>
      </c>
      <c r="AJ20" s="5">
        <f>Caso5!$T27</f>
        <v>79.818170133333339</v>
      </c>
      <c r="AK20" s="5">
        <f>Caso6!$T27</f>
        <v>79.662428399999996</v>
      </c>
      <c r="AL20" s="5">
        <f>Caso7!$T27</f>
        <v>79.135810000000006</v>
      </c>
      <c r="AM20" s="5">
        <f>Caso8!$T27</f>
        <v>79.517400177777773</v>
      </c>
      <c r="AN20" s="5">
        <f>Caso9!$T27</f>
        <v>79.896633333333327</v>
      </c>
      <c r="AO20" s="5">
        <f>Caso10!$T27</f>
        <v>79.373199333333332</v>
      </c>
    </row>
    <row r="21" spans="1:41" x14ac:dyDescent="0.3">
      <c r="A21" s="4">
        <v>4.3</v>
      </c>
      <c r="B21" s="4">
        <f>Caso1!$E28</f>
        <v>166.43779499999999</v>
      </c>
      <c r="C21" s="4">
        <f>Caso2!$E28</f>
        <v>166.36506700000001</v>
      </c>
      <c r="D21" s="4">
        <f>Caso3!$E28</f>
        <v>166.389757</v>
      </c>
      <c r="E21" s="4">
        <f>Caso4!$E28</f>
        <v>166.41696999999999</v>
      </c>
      <c r="F21" s="4">
        <f>Caso5!$E28</f>
        <v>166.47533100000001</v>
      </c>
      <c r="G21" s="4">
        <f>Caso6!$E28</f>
        <v>166.44027399999999</v>
      </c>
      <c r="H21" s="4">
        <f>Caso7!$E28</f>
        <v>166.366917</v>
      </c>
      <c r="I21" s="4">
        <f>Caso8!$E28</f>
        <v>166.40462600000001</v>
      </c>
      <c r="J21" s="4">
        <f>Caso9!$E28</f>
        <v>166.44098700000001</v>
      </c>
      <c r="K21" s="4">
        <f>Caso10!$E28</f>
        <v>166.368369</v>
      </c>
      <c r="L21" s="4">
        <f>Caso1!$F28</f>
        <v>161.41937999999999</v>
      </c>
      <c r="M21" s="4">
        <f>Caso2!$F28</f>
        <v>160.04485600000001</v>
      </c>
      <c r="N21" s="4">
        <f>Caso3!$F28</f>
        <v>159.81419399999999</v>
      </c>
      <c r="O21" s="4">
        <f>Caso4!$F28</f>
        <v>161.48697899999999</v>
      </c>
      <c r="P21" s="4">
        <f>Caso5!$F28</f>
        <v>163.611997</v>
      </c>
      <c r="Q21" s="4">
        <f>Caso6!$F28</f>
        <v>162.17426900000001</v>
      </c>
      <c r="R21" s="4">
        <f>Caso7!$F28</f>
        <v>160.66691299999999</v>
      </c>
      <c r="S21" s="4">
        <f>Caso8!$F28</f>
        <v>160.80408499999999</v>
      </c>
      <c r="T21" s="4">
        <f>Caso9!$F28</f>
        <v>160.94434100000001</v>
      </c>
      <c r="U21" s="4">
        <f>Caso10!$F28</f>
        <v>159.496307</v>
      </c>
      <c r="V21" s="5">
        <f>Caso1!$S28</f>
        <v>100</v>
      </c>
      <c r="W21" s="5">
        <f>Caso2!$S28</f>
        <v>99.999999274376421</v>
      </c>
      <c r="X21" s="5">
        <f>Caso3!$S28</f>
        <v>99.999999238095242</v>
      </c>
      <c r="Y21" s="5">
        <f>Caso4!$S28</f>
        <v>100</v>
      </c>
      <c r="Z21" s="5">
        <f>Caso5!$S28</f>
        <v>100</v>
      </c>
      <c r="AA21" s="5">
        <f>Caso6!$S28</f>
        <v>99.999999885714288</v>
      </c>
      <c r="AB21" s="5">
        <f>Caso7!$S28</f>
        <v>99.99999954285714</v>
      </c>
      <c r="AC21" s="5">
        <f>Caso8!$S28</f>
        <v>100</v>
      </c>
      <c r="AD21" s="5">
        <f>Caso9!$S28</f>
        <v>100</v>
      </c>
      <c r="AE21" s="5">
        <f>Caso10!$S28</f>
        <v>99.99999885714287</v>
      </c>
      <c r="AF21" s="5">
        <f>Caso1!$T28</f>
        <v>88.282009918128665</v>
      </c>
      <c r="AG21" s="5">
        <f>Caso2!$T28</f>
        <v>76.279348148148145</v>
      </c>
      <c r="AH21" s="5">
        <f>Caso3!$T28</f>
        <v>80.264984444444451</v>
      </c>
      <c r="AI21" s="5">
        <f>Caso4!$T28</f>
        <v>84.933001155555559</v>
      </c>
      <c r="AJ21" s="5">
        <f>Caso5!$T28</f>
        <v>83.072309866666671</v>
      </c>
      <c r="AK21" s="5">
        <f>Caso6!$T28</f>
        <v>82.940280933333327</v>
      </c>
      <c r="AL21" s="5">
        <f>Caso7!$T28</f>
        <v>82.482518666666664</v>
      </c>
      <c r="AM21" s="5">
        <f>Caso8!$T28</f>
        <v>82.818857333333341</v>
      </c>
      <c r="AN21" s="5">
        <f>Caso9!$T28</f>
        <v>83.151922400000004</v>
      </c>
      <c r="AO21" s="5">
        <f>Caso10!$T28</f>
        <v>82.698080666666669</v>
      </c>
    </row>
    <row r="22" spans="1:41" x14ac:dyDescent="0.3">
      <c r="A22" s="4">
        <v>4.4000000000000004</v>
      </c>
      <c r="B22" s="4">
        <f>Caso1!$E29</f>
        <v>166.45086900000001</v>
      </c>
      <c r="C22" s="4">
        <f>Caso2!$E29</f>
        <v>166.386179</v>
      </c>
      <c r="D22" s="4">
        <f>Caso3!$E29</f>
        <v>166.40947499999999</v>
      </c>
      <c r="E22" s="4">
        <f>Caso4!$E29</f>
        <v>166.432176</v>
      </c>
      <c r="F22" s="4">
        <f>Caso5!$E29</f>
        <v>166.48095900000001</v>
      </c>
      <c r="G22" s="4">
        <f>Caso6!$E29</f>
        <v>166.45164700000001</v>
      </c>
      <c r="H22" s="4">
        <f>Caso7!$E29</f>
        <v>166.39026899999999</v>
      </c>
      <c r="I22" s="4">
        <f>Caso8!$E29</f>
        <v>166.421864</v>
      </c>
      <c r="J22" s="4">
        <f>Caso9!$E29</f>
        <v>166.45229399999999</v>
      </c>
      <c r="K22" s="4">
        <f>Caso10!$E29</f>
        <v>166.391593</v>
      </c>
      <c r="L22" s="4">
        <f>Caso1!$F29</f>
        <v>161.726629</v>
      </c>
      <c r="M22" s="4">
        <f>Caso2!$F29</f>
        <v>160.55228199999999</v>
      </c>
      <c r="N22" s="4">
        <f>Caso3!$F29</f>
        <v>160.39084500000001</v>
      </c>
      <c r="O22" s="4">
        <f>Caso4!$F29</f>
        <v>161.765874</v>
      </c>
      <c r="P22" s="4">
        <f>Caso5!$F29</f>
        <v>163.757139</v>
      </c>
      <c r="Q22" s="4">
        <f>Caso6!$F29</f>
        <v>162.44829799999999</v>
      </c>
      <c r="R22" s="4">
        <f>Caso7!$F29</f>
        <v>161.04261399999999</v>
      </c>
      <c r="S22" s="4">
        <f>Caso8!$F29</f>
        <v>161.192612</v>
      </c>
      <c r="T22" s="4">
        <f>Caso9!$F29</f>
        <v>161.34424999999999</v>
      </c>
      <c r="U22" s="4">
        <f>Caso10!$F29</f>
        <v>159.98652100000001</v>
      </c>
      <c r="V22" s="5">
        <f>Caso1!$S29</f>
        <v>100</v>
      </c>
      <c r="W22" s="5">
        <f>Caso2!$S29</f>
        <v>99.999999274376421</v>
      </c>
      <c r="X22" s="5">
        <f>Caso3!$S29</f>
        <v>99.999999238095242</v>
      </c>
      <c r="Y22" s="5">
        <f>Caso4!$S29</f>
        <v>100</v>
      </c>
      <c r="Z22" s="5">
        <f>Caso5!$S29</f>
        <v>100</v>
      </c>
      <c r="AA22" s="5">
        <f>Caso6!$S29</f>
        <v>100</v>
      </c>
      <c r="AB22" s="5">
        <f>Caso7!$S29</f>
        <v>99.999999657142865</v>
      </c>
      <c r="AC22" s="5">
        <f>Caso8!$S29</f>
        <v>100</v>
      </c>
      <c r="AD22" s="5">
        <f>Caso9!$S29</f>
        <v>100</v>
      </c>
      <c r="AE22" s="5">
        <f>Caso10!$S29</f>
        <v>99.999999428571428</v>
      </c>
      <c r="AF22" s="5">
        <f>Caso1!$T29</f>
        <v>90.449389941520465</v>
      </c>
      <c r="AG22" s="5">
        <f>Caso2!$T29</f>
        <v>79.81135771428572</v>
      </c>
      <c r="AH22" s="5">
        <f>Caso3!$T29</f>
        <v>83.568375822222237</v>
      </c>
      <c r="AI22" s="5">
        <f>Caso4!$T29</f>
        <v>87.449868355555566</v>
      </c>
      <c r="AJ22" s="5">
        <f>Caso5!$T29</f>
        <v>85.894860266666669</v>
      </c>
      <c r="AK22" s="5">
        <f>Caso6!$T29</f>
        <v>85.786842666666658</v>
      </c>
      <c r="AL22" s="5">
        <f>Caso7!$T29</f>
        <v>85.400415333333342</v>
      </c>
      <c r="AM22" s="5">
        <f>Caso8!$T29</f>
        <v>85.689631644444432</v>
      </c>
      <c r="AN22" s="5">
        <f>Caso9!$T29</f>
        <v>85.975453599999994</v>
      </c>
      <c r="AO22" s="5">
        <f>Caso10!$T29</f>
        <v>85.593232666666665</v>
      </c>
    </row>
    <row r="23" spans="1:41" x14ac:dyDescent="0.3">
      <c r="A23" s="4">
        <v>4.5</v>
      </c>
      <c r="B23" s="4">
        <f>Caso1!$E30</f>
        <v>166.461803</v>
      </c>
      <c r="C23" s="4">
        <f>Caso2!$E30</f>
        <v>166.40495000000001</v>
      </c>
      <c r="D23" s="4">
        <f>Caso3!$E30</f>
        <v>166.42649700000001</v>
      </c>
      <c r="E23" s="4">
        <f>Caso4!$E30</f>
        <v>166.445277</v>
      </c>
      <c r="F23" s="4">
        <f>Caso5!$E30</f>
        <v>166.48580699999999</v>
      </c>
      <c r="G23" s="4">
        <f>Caso6!$E30</f>
        <v>166.46145000000001</v>
      </c>
      <c r="H23" s="4">
        <f>Caso7!$E30</f>
        <v>166.41045199999999</v>
      </c>
      <c r="I23" s="4">
        <f>Caso8!$E30</f>
        <v>166.43673200000001</v>
      </c>
      <c r="J23" s="4">
        <f>Caso9!$E30</f>
        <v>166.462028</v>
      </c>
      <c r="K23" s="4">
        <f>Caso10!$E30</f>
        <v>166.41163800000001</v>
      </c>
      <c r="L23" s="4">
        <f>Caso1!$F30</f>
        <v>161.989485</v>
      </c>
      <c r="M23" s="4">
        <f>Caso2!$F30</f>
        <v>160.96596299999999</v>
      </c>
      <c r="N23" s="4">
        <f>Caso3!$F30</f>
        <v>160.85534799999999</v>
      </c>
      <c r="O23" s="4">
        <f>Caso4!$F30</f>
        <v>162.00687300000001</v>
      </c>
      <c r="P23" s="4">
        <f>Caso5!$F30</f>
        <v>163.877095</v>
      </c>
      <c r="Q23" s="4">
        <f>Caso6!$F30</f>
        <v>162.676523</v>
      </c>
      <c r="R23" s="4">
        <f>Caso7!$F30</f>
        <v>161.361831</v>
      </c>
      <c r="S23" s="4">
        <f>Caso8!$F30</f>
        <v>161.51859400000001</v>
      </c>
      <c r="T23" s="4">
        <f>Caso9!$F30</f>
        <v>161.67592400000001</v>
      </c>
      <c r="U23" s="4">
        <f>Caso10!$F30</f>
        <v>160.40075300000001</v>
      </c>
      <c r="V23" s="5">
        <f>Caso1!$S30</f>
        <v>100</v>
      </c>
      <c r="W23" s="5">
        <f>Caso2!$S30</f>
        <v>100</v>
      </c>
      <c r="X23" s="5">
        <f>Caso3!$S30</f>
        <v>100</v>
      </c>
      <c r="Y23" s="5">
        <f>Caso4!$S30</f>
        <v>100</v>
      </c>
      <c r="Z23" s="5">
        <f>Caso5!$S30</f>
        <v>100</v>
      </c>
      <c r="AA23" s="5">
        <f>Caso6!$S30</f>
        <v>100</v>
      </c>
      <c r="AB23" s="5">
        <f>Caso7!$S30</f>
        <v>99.999999771428577</v>
      </c>
      <c r="AC23" s="5">
        <f>Caso8!$S30</f>
        <v>100</v>
      </c>
      <c r="AD23" s="5">
        <f>Caso9!$S30</f>
        <v>100</v>
      </c>
      <c r="AE23" s="5">
        <f>Caso10!$S30</f>
        <v>99.999999428571428</v>
      </c>
      <c r="AF23" s="5">
        <f>Caso1!$T30</f>
        <v>92.254407298245596</v>
      </c>
      <c r="AG23" s="5">
        <f>Caso2!$T30</f>
        <v>82.938284105820102</v>
      </c>
      <c r="AH23" s="5">
        <f>Caso3!$T30</f>
        <v>86.408150666666671</v>
      </c>
      <c r="AI23" s="5">
        <f>Caso4!$T30</f>
        <v>89.609224888888889</v>
      </c>
      <c r="AJ23" s="5">
        <f>Caso5!$T30</f>
        <v>88.315724000000003</v>
      </c>
      <c r="AK23" s="5">
        <f>Caso6!$T30</f>
        <v>88.22990320000001</v>
      </c>
      <c r="AL23" s="5">
        <f>Caso7!$T30</f>
        <v>87.911729333333327</v>
      </c>
      <c r="AM23" s="5">
        <f>Caso8!$T30</f>
        <v>88.155265866666682</v>
      </c>
      <c r="AN23" s="5">
        <f>Caso9!$T30</f>
        <v>88.395844800000006</v>
      </c>
      <c r="AO23" s="5">
        <f>Caso10!$T30</f>
        <v>88.081809333333325</v>
      </c>
    </row>
    <row r="24" spans="1:41" x14ac:dyDescent="0.3">
      <c r="A24" s="4">
        <v>4.5999999999999996</v>
      </c>
      <c r="B24" s="4">
        <f>Caso1!$E31</f>
        <v>166.47086200000001</v>
      </c>
      <c r="C24" s="4">
        <f>Caso2!$E31</f>
        <v>166.421436</v>
      </c>
      <c r="D24" s="4">
        <f>Caso3!$E31</f>
        <v>166.44101599999999</v>
      </c>
      <c r="E24" s="4">
        <f>Caso4!$E31</f>
        <v>166.456444</v>
      </c>
      <c r="F24" s="4">
        <f>Caso5!$E31</f>
        <v>166.48993999999999</v>
      </c>
      <c r="G24" s="4">
        <f>Caso6!$E31</f>
        <v>166.469809</v>
      </c>
      <c r="H24" s="4">
        <f>Caso7!$E31</f>
        <v>166.42769000000001</v>
      </c>
      <c r="I24" s="4">
        <f>Caso8!$E31</f>
        <v>166.449411</v>
      </c>
      <c r="J24" s="4">
        <f>Caso9!$E31</f>
        <v>166.47031799999999</v>
      </c>
      <c r="K24" s="4">
        <f>Caso10!$E31</f>
        <v>166.42873700000001</v>
      </c>
      <c r="L24" s="4">
        <f>Caso1!$F31</f>
        <v>162.217161</v>
      </c>
      <c r="M24" s="4">
        <f>Caso2!$F31</f>
        <v>161.31136599999999</v>
      </c>
      <c r="N24" s="4">
        <f>Caso3!$F31</f>
        <v>161.23894999999999</v>
      </c>
      <c r="O24" s="4">
        <f>Caso4!$F31</f>
        <v>162.217691</v>
      </c>
      <c r="P24" s="4">
        <f>Caso5!$F31</f>
        <v>163.97822199999999</v>
      </c>
      <c r="Q24" s="4">
        <f>Caso6!$F31</f>
        <v>162.87014600000001</v>
      </c>
      <c r="R24" s="4">
        <f>Caso7!$F31</f>
        <v>161.63756100000001</v>
      </c>
      <c r="S24" s="4">
        <f>Caso8!$F31</f>
        <v>161.796854</v>
      </c>
      <c r="T24" s="4">
        <f>Caso9!$F31</f>
        <v>161.95594399999999</v>
      </c>
      <c r="U24" s="4">
        <f>Caso10!$F31</f>
        <v>160.75645800000001</v>
      </c>
      <c r="V24" s="5">
        <f>Caso1!$S31</f>
        <v>100</v>
      </c>
      <c r="W24" s="5">
        <f>Caso2!$S31</f>
        <v>100</v>
      </c>
      <c r="X24" s="5">
        <f>Caso3!$S31</f>
        <v>100</v>
      </c>
      <c r="Y24" s="5">
        <f>Caso4!$S31</f>
        <v>100</v>
      </c>
      <c r="Z24" s="5">
        <f>Caso5!$S31</f>
        <v>100</v>
      </c>
      <c r="AA24" s="5">
        <f>Caso6!$S31</f>
        <v>100</v>
      </c>
      <c r="AB24" s="5">
        <f>Caso7!$S31</f>
        <v>99.999999885714288</v>
      </c>
      <c r="AC24" s="5">
        <f>Caso8!$S31</f>
        <v>100</v>
      </c>
      <c r="AD24" s="5">
        <f>Caso9!$S31</f>
        <v>100</v>
      </c>
      <c r="AE24" s="5">
        <f>Caso10!$S31</f>
        <v>100</v>
      </c>
      <c r="AF24" s="5">
        <f>Caso1!$T31</f>
        <v>93.743653801169586</v>
      </c>
      <c r="AG24" s="5">
        <f>Caso2!$T31</f>
        <v>85.67338328042328</v>
      </c>
      <c r="AH24" s="5">
        <f>Caso3!$T31</f>
        <v>88.820694666666668</v>
      </c>
      <c r="AI24" s="5">
        <f>Caso4!$T31</f>
        <v>91.44203111111112</v>
      </c>
      <c r="AJ24" s="5">
        <f>Caso5!$T31</f>
        <v>90.370962933333331</v>
      </c>
      <c r="AK24" s="5">
        <f>Caso6!$T31</f>
        <v>90.304313866666675</v>
      </c>
      <c r="AL24" s="5">
        <f>Caso7!$T31</f>
        <v>90.047737999999995</v>
      </c>
      <c r="AM24" s="5">
        <f>Caso8!$T31</f>
        <v>90.249283555555564</v>
      </c>
      <c r="AN24" s="5">
        <f>Caso9!$T31</f>
        <v>90.44862586666666</v>
      </c>
      <c r="AO24" s="5">
        <f>Caso10!$T31</f>
        <v>90.195876666666663</v>
      </c>
    </row>
    <row r="25" spans="1:41" x14ac:dyDescent="0.3">
      <c r="A25" s="4">
        <v>4.7</v>
      </c>
      <c r="B25" s="4">
        <f>Caso1!$E32</f>
        <v>166.478309</v>
      </c>
      <c r="C25" s="4">
        <f>Caso2!$E32</f>
        <v>166.43575200000001</v>
      </c>
      <c r="D25" s="4">
        <f>Caso3!$E32</f>
        <v>166.453272</v>
      </c>
      <c r="E25" s="4">
        <f>Caso4!$E32</f>
        <v>166.46587099999999</v>
      </c>
      <c r="F25" s="4">
        <f>Caso5!$E32</f>
        <v>166.49343200000001</v>
      </c>
      <c r="G25" s="4">
        <f>Caso6!$E32</f>
        <v>166.476868</v>
      </c>
      <c r="H25" s="4">
        <f>Caso7!$E32</f>
        <v>166.44225700000001</v>
      </c>
      <c r="I25" s="4">
        <f>Caso8!$E32</f>
        <v>166.460116</v>
      </c>
      <c r="J25" s="4">
        <f>Caso9!$E32</f>
        <v>166.47731099999999</v>
      </c>
      <c r="K25" s="4">
        <f>Caso10!$E32</f>
        <v>166.44316900000001</v>
      </c>
      <c r="L25" s="4">
        <f>Caso1!$F32</f>
        <v>162.416327</v>
      </c>
      <c r="M25" s="4">
        <f>Caso2!$F32</f>
        <v>161.60524799999999</v>
      </c>
      <c r="N25" s="4">
        <f>Caso3!$F32</f>
        <v>161.56194400000001</v>
      </c>
      <c r="O25" s="4">
        <f>Caso4!$F32</f>
        <v>162.40390600000001</v>
      </c>
      <c r="P25" s="4">
        <f>Caso5!$F32</f>
        <v>164.064819</v>
      </c>
      <c r="Q25" s="4">
        <f>Caso6!$F32</f>
        <v>163.036824</v>
      </c>
      <c r="R25" s="4">
        <f>Caso7!$F32</f>
        <v>161.878738</v>
      </c>
      <c r="S25" s="4">
        <f>Caso8!$F32</f>
        <v>162.03762499999999</v>
      </c>
      <c r="T25" s="4">
        <f>Caso9!$F32</f>
        <v>162.19577799999999</v>
      </c>
      <c r="U25" s="4">
        <f>Caso10!$F32</f>
        <v>161.06578999999999</v>
      </c>
      <c r="V25" s="5">
        <f>Caso1!$S32</f>
        <v>100</v>
      </c>
      <c r="W25" s="5">
        <f>Caso2!$S32</f>
        <v>100</v>
      </c>
      <c r="X25" s="5">
        <f>Caso3!$S32</f>
        <v>100</v>
      </c>
      <c r="Y25" s="5">
        <f>Caso4!$S32</f>
        <v>100</v>
      </c>
      <c r="Z25" s="5">
        <f>Caso5!$S32</f>
        <v>100</v>
      </c>
      <c r="AA25" s="5">
        <f>Caso6!$S32</f>
        <v>100</v>
      </c>
      <c r="AB25" s="5">
        <f>Caso7!$S32</f>
        <v>99.999999885714288</v>
      </c>
      <c r="AC25" s="5">
        <f>Caso8!$S32</f>
        <v>100</v>
      </c>
      <c r="AD25" s="5">
        <f>Caso9!$S32</f>
        <v>100</v>
      </c>
      <c r="AE25" s="5">
        <f>Caso10!$S32</f>
        <v>100</v>
      </c>
      <c r="AF25" s="5">
        <f>Caso1!$T32</f>
        <v>94.96272561403508</v>
      </c>
      <c r="AG25" s="5">
        <f>Caso2!$T32</f>
        <v>88.038940105820103</v>
      </c>
      <c r="AH25" s="5">
        <f>Caso3!$T32</f>
        <v>90.848900444444439</v>
      </c>
      <c r="AI25" s="5">
        <f>Caso4!$T32</f>
        <v>92.98285688888889</v>
      </c>
      <c r="AJ25" s="5">
        <f>Caso5!$T32</f>
        <v>92.099957866666671</v>
      </c>
      <c r="AK25" s="5">
        <f>Caso6!$T32</f>
        <v>92.048974133333331</v>
      </c>
      <c r="AL25" s="5">
        <f>Caso7!$T32</f>
        <v>91.845526666666672</v>
      </c>
      <c r="AM25" s="5">
        <f>Caso8!$T32</f>
        <v>92.01002044444445</v>
      </c>
      <c r="AN25" s="5">
        <f>Caso9!$T32</f>
        <v>92.173191066666675</v>
      </c>
      <c r="AO25" s="5">
        <f>Caso10!$T32</f>
        <v>91.973118666666664</v>
      </c>
    </row>
    <row r="26" spans="1:41" x14ac:dyDescent="0.3">
      <c r="A26" s="4">
        <v>4.8</v>
      </c>
      <c r="B26" s="4">
        <f>Caso1!$E33</f>
        <v>166.48439099999999</v>
      </c>
      <c r="C26" s="4">
        <f>Caso2!$E33</f>
        <v>166.44805600000001</v>
      </c>
      <c r="D26" s="4">
        <f>Caso3!$E33</f>
        <v>166.46352300000001</v>
      </c>
      <c r="E26" s="4">
        <f>Caso4!$E33</f>
        <v>166.47376199999999</v>
      </c>
      <c r="F26" s="4">
        <f>Caso5!$E33</f>
        <v>166.49635799999999</v>
      </c>
      <c r="G26" s="4">
        <f>Caso6!$E33</f>
        <v>166.48277899999999</v>
      </c>
      <c r="H26" s="4">
        <f>Caso7!$E33</f>
        <v>166.454454</v>
      </c>
      <c r="I26" s="4">
        <f>Caso8!$E33</f>
        <v>166.469076</v>
      </c>
      <c r="J26" s="4">
        <f>Caso9!$E33</f>
        <v>166.48316199999999</v>
      </c>
      <c r="K26" s="4">
        <f>Caso10!$E33</f>
        <v>166.45524</v>
      </c>
      <c r="L26" s="4">
        <f>Caso1!$F33</f>
        <v>162.591971</v>
      </c>
      <c r="M26" s="4">
        <f>Caso2!$F33</f>
        <v>161.85905</v>
      </c>
      <c r="N26" s="4">
        <f>Caso3!$F33</f>
        <v>161.83808300000001</v>
      </c>
      <c r="O26" s="4">
        <f>Caso4!$F33</f>
        <v>162.56966800000001</v>
      </c>
      <c r="P26" s="4">
        <f>Caso5!$F33</f>
        <v>164.139905</v>
      </c>
      <c r="Q26" s="4">
        <f>Caso6!$F33</f>
        <v>163.181984</v>
      </c>
      <c r="R26" s="4">
        <f>Caso7!$F33</f>
        <v>162.091736</v>
      </c>
      <c r="S26" s="4">
        <f>Caso8!$F33</f>
        <v>162.24821900000001</v>
      </c>
      <c r="T26" s="4">
        <f>Caso9!$F33</f>
        <v>162.40361899999999</v>
      </c>
      <c r="U26" s="4">
        <f>Caso10!$F33</f>
        <v>161.337501</v>
      </c>
      <c r="V26" s="5">
        <f>Caso1!$S33</f>
        <v>100</v>
      </c>
      <c r="W26" s="5">
        <f>Caso2!$S33</f>
        <v>100</v>
      </c>
      <c r="X26" s="5">
        <f>Caso3!$S33</f>
        <v>100</v>
      </c>
      <c r="Y26" s="5">
        <f>Caso4!$S33</f>
        <v>100</v>
      </c>
      <c r="Z26" s="5">
        <f>Caso5!$S33</f>
        <v>100</v>
      </c>
      <c r="AA26" s="5">
        <f>Caso6!$S33</f>
        <v>100</v>
      </c>
      <c r="AB26" s="5">
        <f>Caso7!$S33</f>
        <v>99.999999885714288</v>
      </c>
      <c r="AC26" s="5">
        <f>Caso8!$S33</f>
        <v>100</v>
      </c>
      <c r="AD26" s="5">
        <f>Caso9!$S33</f>
        <v>100</v>
      </c>
      <c r="AE26" s="5">
        <f>Caso10!$S33</f>
        <v>100</v>
      </c>
      <c r="AF26" s="5">
        <f>Caso1!$T33</f>
        <v>95.954173567251473</v>
      </c>
      <c r="AG26" s="5">
        <f>Caso2!$T33</f>
        <v>90.063915343915355</v>
      </c>
      <c r="AH26" s="5">
        <f>Caso3!$T33</f>
        <v>92.538548444444444</v>
      </c>
      <c r="AI26" s="5">
        <f>Caso4!$T33</f>
        <v>94.267461333333344</v>
      </c>
      <c r="AJ26" s="5">
        <f>Caso5!$T33</f>
        <v>93.542914400000001</v>
      </c>
      <c r="AK26" s="5">
        <f>Caso6!$T33</f>
        <v>93.504123866666674</v>
      </c>
      <c r="AL26" s="5">
        <f>Caso7!$T33</f>
        <v>93.344877333333329</v>
      </c>
      <c r="AM26" s="5">
        <f>Caso8!$T33</f>
        <v>93.47771111111112</v>
      </c>
      <c r="AN26" s="5">
        <f>Caso9!$T33</f>
        <v>93.61009</v>
      </c>
      <c r="AO26" s="5">
        <f>Caso10!$T33</f>
        <v>93.453711333333331</v>
      </c>
    </row>
    <row r="27" spans="1:41" x14ac:dyDescent="0.3">
      <c r="A27" s="4">
        <v>4.9000000000000004</v>
      </c>
      <c r="B27" s="4">
        <f>Caso1!$E34</f>
        <v>166.48933099999999</v>
      </c>
      <c r="C27" s="4">
        <f>Caso2!$E34</f>
        <v>166.45853299999999</v>
      </c>
      <c r="D27" s="4">
        <f>Caso3!$E34</f>
        <v>166.47202999999999</v>
      </c>
      <c r="E27" s="4">
        <f>Caso4!$E34</f>
        <v>166.480321</v>
      </c>
      <c r="F27" s="4">
        <f>Caso5!$E34</f>
        <v>166.49879300000001</v>
      </c>
      <c r="G27" s="4">
        <f>Caso6!$E34</f>
        <v>166.487695</v>
      </c>
      <c r="H27" s="4">
        <f>Caso7!$E34</f>
        <v>166.46458799999999</v>
      </c>
      <c r="I27" s="4">
        <f>Caso8!$E34</f>
        <v>166.476518</v>
      </c>
      <c r="J27" s="4">
        <f>Caso9!$E34</f>
        <v>166.488021</v>
      </c>
      <c r="K27" s="4">
        <f>Caso10!$E34</f>
        <v>166.465259</v>
      </c>
      <c r="L27" s="4">
        <f>Caso1!$F34</f>
        <v>162.74792199999999</v>
      </c>
      <c r="M27" s="4">
        <f>Caso2!$F34</f>
        <v>162.08085199999999</v>
      </c>
      <c r="N27" s="4">
        <f>Caso3!$F34</f>
        <v>162.077056</v>
      </c>
      <c r="O27" s="4">
        <f>Caso4!$F34</f>
        <v>162.718154</v>
      </c>
      <c r="P27" s="4">
        <f>Caso5!$F34</f>
        <v>164.205671</v>
      </c>
      <c r="Q27" s="4">
        <f>Caso6!$F34</f>
        <v>163.309595</v>
      </c>
      <c r="R27" s="4">
        <f>Caso7!$F34</f>
        <v>162.28126800000001</v>
      </c>
      <c r="S27" s="4">
        <f>Caso8!$F34</f>
        <v>162.43402900000001</v>
      </c>
      <c r="T27" s="4">
        <f>Caso9!$F34</f>
        <v>162.58549500000001</v>
      </c>
      <c r="U27" s="4">
        <f>Caso10!$F34</f>
        <v>161.578093</v>
      </c>
      <c r="V27" s="5">
        <f>Caso1!$S34</f>
        <v>100</v>
      </c>
      <c r="W27" s="5">
        <f>Caso2!$S34</f>
        <v>100</v>
      </c>
      <c r="X27" s="5">
        <f>Caso3!$S34</f>
        <v>100</v>
      </c>
      <c r="Y27" s="5">
        <f>Caso4!$S34</f>
        <v>100</v>
      </c>
      <c r="Z27" s="5">
        <f>Caso5!$S34</f>
        <v>100</v>
      </c>
      <c r="AA27" s="5">
        <f>Caso6!$S34</f>
        <v>100</v>
      </c>
      <c r="AB27" s="5">
        <f>Caso7!$S34</f>
        <v>100</v>
      </c>
      <c r="AC27" s="5">
        <f>Caso8!$S34</f>
        <v>100</v>
      </c>
      <c r="AD27" s="5">
        <f>Caso9!$S34</f>
        <v>100</v>
      </c>
      <c r="AE27" s="5">
        <f>Caso10!$S34</f>
        <v>100</v>
      </c>
      <c r="AF27" s="5">
        <f>Caso1!$T34</f>
        <v>96.756290994152053</v>
      </c>
      <c r="AG27" s="5">
        <f>Caso2!$T34</f>
        <v>91.781428148148137</v>
      </c>
      <c r="AH27" s="5">
        <f>Caso3!$T34</f>
        <v>93.935311111111105</v>
      </c>
      <c r="AI27" s="5">
        <f>Caso4!$T34</f>
        <v>95.330849777777786</v>
      </c>
      <c r="AJ27" s="5">
        <f>Caso5!$T34</f>
        <v>94.738891733333332</v>
      </c>
      <c r="AK27" s="5">
        <f>Caso6!$T34</f>
        <v>94.709169199999991</v>
      </c>
      <c r="AL27" s="5">
        <f>Caso7!$T34</f>
        <v>94.585641333333342</v>
      </c>
      <c r="AM27" s="5">
        <f>Caso8!$T34</f>
        <v>94.692093333333332</v>
      </c>
      <c r="AN27" s="5">
        <f>Caso9!$T34</f>
        <v>94.798874666666663</v>
      </c>
      <c r="AO27" s="5">
        <f>Caso10!$T34</f>
        <v>94.677712666666665</v>
      </c>
    </row>
    <row r="28" spans="1:41" x14ac:dyDescent="0.3">
      <c r="A28" s="4">
        <v>5</v>
      </c>
      <c r="B28" s="4">
        <f>Caso1!$E35</f>
        <v>166.49332799999999</v>
      </c>
      <c r="C28" s="4">
        <f>Caso2!$E35</f>
        <v>166.46738199999999</v>
      </c>
      <c r="D28" s="4">
        <f>Caso3!$E35</f>
        <v>166.47904500000001</v>
      </c>
      <c r="E28" s="4">
        <f>Caso4!$E35</f>
        <v>166.485739</v>
      </c>
      <c r="F28" s="4">
        <f>Caso5!$E35</f>
        <v>166.50080800000001</v>
      </c>
      <c r="G28" s="4">
        <f>Caso6!$E35</f>
        <v>166.49175700000001</v>
      </c>
      <c r="H28" s="4">
        <f>Caso7!$E35</f>
        <v>166.47295199999999</v>
      </c>
      <c r="I28" s="4">
        <f>Caso8!$E35</f>
        <v>166.482662</v>
      </c>
      <c r="J28" s="4">
        <f>Caso9!$E35</f>
        <v>166.49203399999999</v>
      </c>
      <c r="K28" s="4">
        <f>Caso10!$E35</f>
        <v>166.473522</v>
      </c>
      <c r="L28" s="4">
        <f>Caso1!$F35</f>
        <v>162.88719499999999</v>
      </c>
      <c r="M28" s="4">
        <f>Caso2!$F35</f>
        <v>162.27653699999999</v>
      </c>
      <c r="N28" s="4">
        <f>Caso3!$F35</f>
        <v>162.28591499999999</v>
      </c>
      <c r="O28" s="4">
        <f>Caso4!$F35</f>
        <v>162.85185999999999</v>
      </c>
      <c r="P28" s="4">
        <f>Caso5!$F35</f>
        <v>164.26375400000001</v>
      </c>
      <c r="Q28" s="4">
        <f>Caso6!$F35</f>
        <v>163.42265</v>
      </c>
      <c r="R28" s="4">
        <f>Caso7!$F35</f>
        <v>162.45093</v>
      </c>
      <c r="S28" s="4">
        <f>Caso8!$F35</f>
        <v>162.59914599999999</v>
      </c>
      <c r="T28" s="4">
        <f>Caso9!$F35</f>
        <v>162.74595400000001</v>
      </c>
      <c r="U28" s="4">
        <f>Caso10!$F35</f>
        <v>161.79253800000001</v>
      </c>
      <c r="V28" s="5">
        <f>Caso1!$S35</f>
        <v>100</v>
      </c>
      <c r="W28" s="5">
        <f>Caso2!$S35</f>
        <v>100</v>
      </c>
      <c r="X28" s="5">
        <f>Caso3!$S35</f>
        <v>100</v>
      </c>
      <c r="Y28" s="5">
        <f>Caso4!$S35</f>
        <v>100</v>
      </c>
      <c r="Z28" s="5">
        <f>Caso5!$S35</f>
        <v>100</v>
      </c>
      <c r="AA28" s="5">
        <f>Caso6!$S35</f>
        <v>100</v>
      </c>
      <c r="AB28" s="5">
        <f>Caso7!$S35</f>
        <v>100</v>
      </c>
      <c r="AC28" s="5">
        <f>Caso8!$S35</f>
        <v>100</v>
      </c>
      <c r="AD28" s="5">
        <f>Caso9!$S35</f>
        <v>100</v>
      </c>
      <c r="AE28" s="5">
        <f>Caso10!$S35</f>
        <v>100</v>
      </c>
      <c r="AF28" s="5">
        <f>Caso1!$T35</f>
        <v>97.402574035087724</v>
      </c>
      <c r="AG28" s="5">
        <f>Caso2!$T35</f>
        <v>93.226418624338621</v>
      </c>
      <c r="AH28" s="5">
        <f>Caso3!$T35</f>
        <v>95.082557333333341</v>
      </c>
      <c r="AI28" s="5">
        <f>Caso4!$T35</f>
        <v>96.205878222222225</v>
      </c>
      <c r="AJ28" s="5">
        <f>Caso5!$T35</f>
        <v>95.724406133333332</v>
      </c>
      <c r="AK28" s="5">
        <f>Caso6!$T35</f>
        <v>95.701123999999993</v>
      </c>
      <c r="AL28" s="5">
        <f>Caso7!$T35</f>
        <v>95.605788000000004</v>
      </c>
      <c r="AM28" s="5">
        <f>Caso8!$T35</f>
        <v>95.690684444444443</v>
      </c>
      <c r="AN28" s="5">
        <f>Caso9!$T35</f>
        <v>95.776573999999997</v>
      </c>
      <c r="AO28" s="5">
        <f>Caso10!$T35</f>
        <v>95.683143333333319</v>
      </c>
    </row>
    <row r="29" spans="1:41" x14ac:dyDescent="0.3">
      <c r="A29" s="4">
        <v>5.0999999999999996</v>
      </c>
      <c r="B29" s="4">
        <f>Caso1!$E36</f>
        <v>166.49655100000001</v>
      </c>
      <c r="C29" s="4">
        <f>Caso2!$E36</f>
        <v>166.47480300000001</v>
      </c>
      <c r="D29" s="4">
        <f>Caso3!$E36</f>
        <v>166.48479900000001</v>
      </c>
      <c r="E29" s="4">
        <f>Caso4!$E36</f>
        <v>166.490194</v>
      </c>
      <c r="F29" s="4">
        <f>Caso5!$E36</f>
        <v>166.502466</v>
      </c>
      <c r="G29" s="4">
        <f>Caso6!$E36</f>
        <v>166.49509699999999</v>
      </c>
      <c r="H29" s="4">
        <f>Caso7!$E36</f>
        <v>166.47981999999999</v>
      </c>
      <c r="I29" s="4">
        <f>Caso8!$E36</f>
        <v>166.487709</v>
      </c>
      <c r="J29" s="4">
        <f>Caso9!$E36</f>
        <v>166.49533099999999</v>
      </c>
      <c r="K29" s="4">
        <f>Caso10!$E36</f>
        <v>166.480299</v>
      </c>
      <c r="L29" s="4">
        <f>Caso1!$F36</f>
        <v>163.01220799999999</v>
      </c>
      <c r="M29" s="4">
        <f>Caso2!$F36</f>
        <v>162.450515</v>
      </c>
      <c r="N29" s="4">
        <f>Caso3!$F36</f>
        <v>162.469953</v>
      </c>
      <c r="O29" s="4">
        <f>Caso4!$F36</f>
        <v>162.972792</v>
      </c>
      <c r="P29" s="4">
        <f>Caso5!$F36</f>
        <v>164.31540899999999</v>
      </c>
      <c r="Q29" s="4">
        <f>Caso6!$F36</f>
        <v>163.523459</v>
      </c>
      <c r="R29" s="4">
        <f>Caso7!$F36</f>
        <v>162.603557</v>
      </c>
      <c r="S29" s="4">
        <f>Caso8!$F36</f>
        <v>162.746759</v>
      </c>
      <c r="T29" s="4">
        <f>Caso9!$F36</f>
        <v>162.888509</v>
      </c>
      <c r="U29" s="4">
        <f>Caso10!$F36</f>
        <v>161.984737</v>
      </c>
      <c r="V29" s="5">
        <f>Caso1!$S36</f>
        <v>100</v>
      </c>
      <c r="W29" s="5">
        <f>Caso2!$S36</f>
        <v>100</v>
      </c>
      <c r="X29" s="5">
        <f>Caso3!$S36</f>
        <v>100</v>
      </c>
      <c r="Y29" s="5">
        <f>Caso4!$S36</f>
        <v>100</v>
      </c>
      <c r="Z29" s="5">
        <f>Caso5!$S36</f>
        <v>100</v>
      </c>
      <c r="AA29" s="5">
        <f>Caso6!$S36</f>
        <v>100</v>
      </c>
      <c r="AB29" s="5">
        <f>Caso7!$S36</f>
        <v>100</v>
      </c>
      <c r="AC29" s="5">
        <f>Caso8!$S36</f>
        <v>100</v>
      </c>
      <c r="AD29" s="5">
        <f>Caso9!$S36</f>
        <v>100</v>
      </c>
      <c r="AE29" s="5">
        <f>Caso10!$S36</f>
        <v>100</v>
      </c>
      <c r="AF29" s="5">
        <f>Caso1!$T36</f>
        <v>97.921674853801179</v>
      </c>
      <c r="AG29" s="5">
        <f>Caso2!$T36</f>
        <v>94.433678730158732</v>
      </c>
      <c r="AH29" s="5">
        <f>Caso3!$T36</f>
        <v>96.019940444444444</v>
      </c>
      <c r="AI29" s="5">
        <f>Caso4!$T36</f>
        <v>96.922390222222219</v>
      </c>
      <c r="AJ29" s="5">
        <f>Caso5!$T36</f>
        <v>96.532575733333331</v>
      </c>
      <c r="AK29" s="5">
        <f>Caso6!$T36</f>
        <v>96.513638266666661</v>
      </c>
      <c r="AL29" s="5">
        <f>Caso7!$T36</f>
        <v>96.440132666666671</v>
      </c>
      <c r="AM29" s="5">
        <f>Caso8!$T36</f>
        <v>96.507678222222225</v>
      </c>
      <c r="AN29" s="5">
        <f>Caso9!$T36</f>
        <v>96.576757999999998</v>
      </c>
      <c r="AO29" s="5">
        <f>Caso10!$T36</f>
        <v>96.504757999999995</v>
      </c>
    </row>
    <row r="30" spans="1:41" x14ac:dyDescent="0.3">
      <c r="A30" s="4">
        <v>5.2</v>
      </c>
      <c r="B30" s="4">
        <f>Caso1!$E37</f>
        <v>166.499144</v>
      </c>
      <c r="C30" s="4">
        <f>Caso2!$E37</f>
        <v>166.48098999999999</v>
      </c>
      <c r="D30" s="4">
        <f>Caso3!$E37</f>
        <v>166.489499</v>
      </c>
      <c r="E30" s="4">
        <f>Caso4!$E37</f>
        <v>166.493841</v>
      </c>
      <c r="F30" s="4">
        <f>Caso5!$E37</f>
        <v>166.503827</v>
      </c>
      <c r="G30" s="4">
        <f>Caso6!$E37</f>
        <v>166.49783400000001</v>
      </c>
      <c r="H30" s="4">
        <f>Caso7!$E37</f>
        <v>166.485435</v>
      </c>
      <c r="I30" s="4">
        <f>Caso8!$E37</f>
        <v>166.491837</v>
      </c>
      <c r="J30" s="4">
        <f>Caso9!$E37</f>
        <v>166.49803</v>
      </c>
      <c r="K30" s="4">
        <f>Caso10!$E37</f>
        <v>166.485837</v>
      </c>
      <c r="L30" s="4">
        <f>Caso1!$F37</f>
        <v>163.124931</v>
      </c>
      <c r="M30" s="4">
        <f>Caso2!$F37</f>
        <v>162.60617999999999</v>
      </c>
      <c r="N30" s="4">
        <f>Caso3!$F37</f>
        <v>162.63324299999999</v>
      </c>
      <c r="O30" s="4">
        <f>Caso4!$F37</f>
        <v>163.082594</v>
      </c>
      <c r="P30" s="4">
        <f>Caso5!$F37</f>
        <v>164.36162400000001</v>
      </c>
      <c r="Q30" s="4">
        <f>Caso6!$F37</f>
        <v>163.61384799999999</v>
      </c>
      <c r="R30" s="4">
        <f>Caso7!$F37</f>
        <v>162.741435</v>
      </c>
      <c r="S30" s="4">
        <f>Caso8!$F37</f>
        <v>162.87940399999999</v>
      </c>
      <c r="T30" s="4">
        <f>Caso9!$F37</f>
        <v>163.01592500000001</v>
      </c>
      <c r="U30" s="4">
        <f>Caso10!$F37</f>
        <v>162.15781899999999</v>
      </c>
      <c r="V30" s="5">
        <f>Caso1!$S37</f>
        <v>100</v>
      </c>
      <c r="W30" s="5">
        <f>Caso2!$S37</f>
        <v>100</v>
      </c>
      <c r="X30" s="5">
        <f>Caso3!$S37</f>
        <v>100</v>
      </c>
      <c r="Y30" s="5">
        <f>Caso4!$S37</f>
        <v>100</v>
      </c>
      <c r="Z30" s="5">
        <f>Caso5!$S37</f>
        <v>100</v>
      </c>
      <c r="AA30" s="5">
        <f>Caso6!$S37</f>
        <v>100</v>
      </c>
      <c r="AB30" s="5">
        <f>Caso7!$S37</f>
        <v>100</v>
      </c>
      <c r="AC30" s="5">
        <f>Caso8!$S37</f>
        <v>100</v>
      </c>
      <c r="AD30" s="5">
        <f>Caso9!$S37</f>
        <v>100</v>
      </c>
      <c r="AE30" s="5">
        <f>Caso10!$S37</f>
        <v>100</v>
      </c>
      <c r="AF30" s="5">
        <f>Caso1!$T37</f>
        <v>98.337675789473693</v>
      </c>
      <c r="AG30" s="5">
        <f>Caso2!$T37</f>
        <v>95.436391957671958</v>
      </c>
      <c r="AH30" s="5">
        <f>Caso3!$T37</f>
        <v>96.7826711111111</v>
      </c>
      <c r="AI30" s="5">
        <f>Caso4!$T37</f>
        <v>97.506795555555556</v>
      </c>
      <c r="AJ30" s="5">
        <f>Caso5!$T37</f>
        <v>97.192711466666665</v>
      </c>
      <c r="AK30" s="5">
        <f>Caso6!$T37</f>
        <v>97.176519466666662</v>
      </c>
      <c r="AL30" s="5">
        <f>Caso7!$T37</f>
        <v>97.119657999999987</v>
      </c>
      <c r="AM30" s="5">
        <f>Caso8!$T37</f>
        <v>97.173394666666667</v>
      </c>
      <c r="AN30" s="5">
        <f>Caso9!$T37</f>
        <v>97.229093066666664</v>
      </c>
      <c r="AO30" s="5">
        <f>Caso10!$T37</f>
        <v>97.173401999999982</v>
      </c>
    </row>
    <row r="31" spans="1:41" x14ac:dyDescent="0.3">
      <c r="A31" s="4">
        <v>5.3</v>
      </c>
      <c r="B31" s="4">
        <f>Caso1!$E38</f>
        <v>166.501228</v>
      </c>
      <c r="C31" s="4">
        <f>Caso2!$E38</f>
        <v>166.48612199999999</v>
      </c>
      <c r="D31" s="4">
        <f>Caso3!$E38</f>
        <v>166.493326</v>
      </c>
      <c r="E31" s="4">
        <f>Caso4!$E38</f>
        <v>166.49681899999999</v>
      </c>
      <c r="F31" s="4">
        <f>Caso5!$E38</f>
        <v>166.50493900000001</v>
      </c>
      <c r="G31" s="4">
        <f>Caso6!$E38</f>
        <v>166.500067</v>
      </c>
      <c r="H31" s="4">
        <f>Caso7!$E38</f>
        <v>166.49001200000001</v>
      </c>
      <c r="I31" s="4">
        <f>Caso8!$E38</f>
        <v>166.495204</v>
      </c>
      <c r="J31" s="4">
        <f>Caso9!$E38</f>
        <v>166.50023100000001</v>
      </c>
      <c r="K31" s="4">
        <f>Caso10!$E38</f>
        <v>166.49034599999999</v>
      </c>
      <c r="L31" s="4">
        <f>Caso1!$F38</f>
        <v>163.22699499999999</v>
      </c>
      <c r="M31" s="4">
        <f>Caso2!$F38</f>
        <v>162.746205</v>
      </c>
      <c r="N31" s="4">
        <f>Caso3!$F38</f>
        <v>162.778989</v>
      </c>
      <c r="O31" s="4">
        <f>Caso4!$F38</f>
        <v>163.182637</v>
      </c>
      <c r="P31" s="4">
        <f>Caso5!$F38</f>
        <v>164.40318500000001</v>
      </c>
      <c r="Q31" s="4">
        <f>Caso6!$F38</f>
        <v>163.69529</v>
      </c>
      <c r="R31" s="4">
        <f>Caso7!$F38</f>
        <v>162.86644699999999</v>
      </c>
      <c r="S31" s="4">
        <f>Caso8!$F38</f>
        <v>162.99914000000001</v>
      </c>
      <c r="T31" s="4">
        <f>Caso9!$F38</f>
        <v>163.13041899999999</v>
      </c>
      <c r="U31" s="4">
        <f>Caso10!$F38</f>
        <v>162.31434100000001</v>
      </c>
      <c r="V31" s="5">
        <f>Caso1!$S38</f>
        <v>100</v>
      </c>
      <c r="W31" s="5">
        <f>Caso2!$S38</f>
        <v>100</v>
      </c>
      <c r="X31" s="5">
        <f>Caso3!$S38</f>
        <v>100</v>
      </c>
      <c r="Y31" s="5">
        <f>Caso4!$S38</f>
        <v>100</v>
      </c>
      <c r="Z31" s="5">
        <f>Caso5!$S38</f>
        <v>100</v>
      </c>
      <c r="AA31" s="5">
        <f>Caso6!$S38</f>
        <v>100</v>
      </c>
      <c r="AB31" s="5">
        <f>Caso7!$S38</f>
        <v>100</v>
      </c>
      <c r="AC31" s="5">
        <f>Caso8!$S38</f>
        <v>100</v>
      </c>
      <c r="AD31" s="5">
        <f>Caso9!$S38</f>
        <v>100</v>
      </c>
      <c r="AE31" s="5">
        <f>Caso10!$S38</f>
        <v>100</v>
      </c>
      <c r="AF31" s="5">
        <f>Caso1!$T38</f>
        <v>98.670538479532169</v>
      </c>
      <c r="AG31" s="5">
        <f>Caso2!$T38</f>
        <v>96.265148783068781</v>
      </c>
      <c r="AH31" s="5">
        <f>Caso3!$T38</f>
        <v>97.401299555555568</v>
      </c>
      <c r="AI31" s="5">
        <f>Caso4!$T38</f>
        <v>97.981984888888888</v>
      </c>
      <c r="AJ31" s="5">
        <f>Caso5!$T38</f>
        <v>97.730245600000003</v>
      </c>
      <c r="AK31" s="5">
        <f>Caso6!$T38</f>
        <v>97.71562826666667</v>
      </c>
      <c r="AL31" s="5">
        <f>Caso7!$T38</f>
        <v>97.671297333333342</v>
      </c>
      <c r="AM31" s="5">
        <f>Caso8!$T38</f>
        <v>97.714134222222214</v>
      </c>
      <c r="AN31" s="5">
        <f>Caso9!$T38</f>
        <v>97.759264400000006</v>
      </c>
      <c r="AO31" s="5">
        <f>Caso10!$T38</f>
        <v>97.715832666666657</v>
      </c>
    </row>
    <row r="32" spans="1:41" x14ac:dyDescent="0.3">
      <c r="A32" s="4">
        <v>5.4</v>
      </c>
      <c r="B32" s="4">
        <f>Caso1!$E39</f>
        <v>166.50290000000001</v>
      </c>
      <c r="C32" s="4">
        <f>Caso2!$E39</f>
        <v>166.490364</v>
      </c>
      <c r="D32" s="4">
        <f>Caso3!$E39</f>
        <v>166.49643399999999</v>
      </c>
      <c r="E32" s="4">
        <f>Caso4!$E39</f>
        <v>166.499244</v>
      </c>
      <c r="F32" s="4">
        <f>Caso5!$E39</f>
        <v>166.50584499999999</v>
      </c>
      <c r="G32" s="4">
        <f>Caso6!$E39</f>
        <v>166.50188700000001</v>
      </c>
      <c r="H32" s="4">
        <f>Caso7!$E39</f>
        <v>166.49373199999999</v>
      </c>
      <c r="I32" s="4">
        <f>Caso8!$E39</f>
        <v>166.49794199999999</v>
      </c>
      <c r="J32" s="4">
        <f>Caso9!$E39</f>
        <v>166.50202300000001</v>
      </c>
      <c r="K32" s="4">
        <f>Caso10!$E39</f>
        <v>166.49401</v>
      </c>
      <c r="L32" s="4">
        <f>Caso1!$F39</f>
        <v>163.319759</v>
      </c>
      <c r="M32" s="4">
        <f>Caso2!$F39</f>
        <v>162.87274300000001</v>
      </c>
      <c r="N32" s="4">
        <f>Caso3!$F39</f>
        <v>162.90975900000001</v>
      </c>
      <c r="O32" s="4">
        <f>Caso4!$F39</f>
        <v>163.27407700000001</v>
      </c>
      <c r="P32" s="4">
        <f>Caso5!$F39</f>
        <v>164.44073399999999</v>
      </c>
      <c r="Q32" s="4">
        <f>Caso6!$F39</f>
        <v>163.76898800000001</v>
      </c>
      <c r="R32" s="4">
        <f>Caso7!$F39</f>
        <v>162.98017100000001</v>
      </c>
      <c r="S32" s="4">
        <f>Caso8!$F39</f>
        <v>163.107662</v>
      </c>
      <c r="T32" s="4">
        <f>Caso9!$F39</f>
        <v>163.23379199999999</v>
      </c>
      <c r="U32" s="4">
        <f>Caso10!$F39</f>
        <v>162.45642599999999</v>
      </c>
      <c r="V32" s="5">
        <f>Caso1!$S39</f>
        <v>100</v>
      </c>
      <c r="W32" s="5">
        <f>Caso2!$S39</f>
        <v>100</v>
      </c>
      <c r="X32" s="5">
        <f>Caso3!$S39</f>
        <v>100</v>
      </c>
      <c r="Y32" s="5">
        <f>Caso4!$S39</f>
        <v>100</v>
      </c>
      <c r="Z32" s="5">
        <f>Caso5!$S39</f>
        <v>100</v>
      </c>
      <c r="AA32" s="5">
        <f>Caso6!$S39</f>
        <v>100</v>
      </c>
      <c r="AB32" s="5">
        <f>Caso7!$S39</f>
        <v>100</v>
      </c>
      <c r="AC32" s="5">
        <f>Caso8!$S39</f>
        <v>100</v>
      </c>
      <c r="AD32" s="5">
        <f>Caso9!$S39</f>
        <v>100</v>
      </c>
      <c r="AE32" s="5">
        <f>Caso10!$S39</f>
        <v>100</v>
      </c>
      <c r="AF32" s="5">
        <f>Caso1!$T39</f>
        <v>98.936628771929833</v>
      </c>
      <c r="AG32" s="5">
        <f>Caso2!$T39</f>
        <v>96.947406560846574</v>
      </c>
      <c r="AH32" s="5">
        <f>Caso3!$T39</f>
        <v>97.901850666666675</v>
      </c>
      <c r="AI32" s="5">
        <f>Caso4!$T39</f>
        <v>98.367469333333332</v>
      </c>
      <c r="AJ32" s="5">
        <f>Caso5!$T39</f>
        <v>98.166895733333348</v>
      </c>
      <c r="AK32" s="5">
        <f>Caso6!$T39</f>
        <v>98.153027866666662</v>
      </c>
      <c r="AL32" s="5">
        <f>Caso7!$T39</f>
        <v>98.118035999999989</v>
      </c>
      <c r="AM32" s="5">
        <f>Caso8!$T39</f>
        <v>98.152319111111112</v>
      </c>
      <c r="AN32" s="5">
        <f>Caso9!$T39</f>
        <v>98.189146666666659</v>
      </c>
      <c r="AO32" s="5">
        <f>Caso10!$T39</f>
        <v>98.154838000000012</v>
      </c>
    </row>
    <row r="33" spans="1:41" x14ac:dyDescent="0.3">
      <c r="A33" s="4">
        <v>5.5</v>
      </c>
      <c r="B33" s="4">
        <f>Caso1!$E40</f>
        <v>166.504242</v>
      </c>
      <c r="C33" s="4">
        <f>Caso2!$E40</f>
        <v>166.49385699999999</v>
      </c>
      <c r="D33" s="4">
        <f>Caso3!$E40</f>
        <v>166.498954</v>
      </c>
      <c r="E33" s="4">
        <f>Caso4!$E40</f>
        <v>166.501215</v>
      </c>
      <c r="F33" s="4">
        <f>Caso5!$E40</f>
        <v>166.50658300000001</v>
      </c>
      <c r="G33" s="4">
        <f>Caso6!$E40</f>
        <v>166.503366</v>
      </c>
      <c r="H33" s="4">
        <f>Caso7!$E40</f>
        <v>166.49675099999999</v>
      </c>
      <c r="I33" s="4">
        <f>Caso8!$E40</f>
        <v>166.50016600000001</v>
      </c>
      <c r="J33" s="4">
        <f>Caso9!$E40</f>
        <v>166.50348</v>
      </c>
      <c r="K33" s="4">
        <f>Caso10!$E40</f>
        <v>166.496982</v>
      </c>
      <c r="L33" s="4">
        <f>Caso1!$F40</f>
        <v>163.40437</v>
      </c>
      <c r="M33" s="4">
        <f>Caso2!$F40</f>
        <v>162.98755600000001</v>
      </c>
      <c r="N33" s="4">
        <f>Caso3!$F40</f>
        <v>163.02764500000001</v>
      </c>
      <c r="O33" s="4">
        <f>Caso4!$F40</f>
        <v>163.357899</v>
      </c>
      <c r="P33" s="4">
        <f>Caso5!$F40</f>
        <v>164.47479899999999</v>
      </c>
      <c r="Q33" s="4">
        <f>Caso6!$F40</f>
        <v>163.83593999999999</v>
      </c>
      <c r="R33" s="4">
        <f>Caso7!$F40</f>
        <v>163.083945</v>
      </c>
      <c r="S33" s="4">
        <f>Caso8!$F40</f>
        <v>163.20638400000001</v>
      </c>
      <c r="T33" s="4">
        <f>Caso9!$F40</f>
        <v>163.327527</v>
      </c>
      <c r="U33" s="4">
        <f>Caso10!$F40</f>
        <v>162.58585299999999</v>
      </c>
      <c r="V33" s="5">
        <f>Caso1!$S40</f>
        <v>100</v>
      </c>
      <c r="W33" s="5">
        <f>Caso2!$S40</f>
        <v>100</v>
      </c>
      <c r="X33" s="5">
        <f>Caso3!$S40</f>
        <v>100</v>
      </c>
      <c r="Y33" s="5">
        <f>Caso4!$S40</f>
        <v>100</v>
      </c>
      <c r="Z33" s="5">
        <f>Caso5!$S40</f>
        <v>100</v>
      </c>
      <c r="AA33" s="5">
        <f>Caso6!$S40</f>
        <v>100</v>
      </c>
      <c r="AB33" s="5">
        <f>Caso7!$S40</f>
        <v>100</v>
      </c>
      <c r="AC33" s="5">
        <f>Caso8!$S40</f>
        <v>100</v>
      </c>
      <c r="AD33" s="5">
        <f>Caso9!$S40</f>
        <v>100</v>
      </c>
      <c r="AE33" s="5">
        <f>Caso10!$S40</f>
        <v>100</v>
      </c>
      <c r="AF33" s="5">
        <f>Caso1!$T40</f>
        <v>99.149251929824544</v>
      </c>
      <c r="AG33" s="5">
        <f>Caso2!$T40</f>
        <v>97.507289735449731</v>
      </c>
      <c r="AH33" s="5">
        <f>Caso3!$T40</f>
        <v>98.306176888888899</v>
      </c>
      <c r="AI33" s="5">
        <f>Caso4!$T40</f>
        <v>98.679656888888886</v>
      </c>
      <c r="AJ33" s="5">
        <f>Caso5!$T40</f>
        <v>98.520965066666676</v>
      </c>
      <c r="AK33" s="5">
        <f>Caso6!$T40</f>
        <v>98.507289600000007</v>
      </c>
      <c r="AL33" s="5">
        <f>Caso7!$T40</f>
        <v>98.479199999999992</v>
      </c>
      <c r="AM33" s="5">
        <f>Caso8!$T40</f>
        <v>98.506793777777787</v>
      </c>
      <c r="AN33" s="5">
        <f>Caso9!$T40</f>
        <v>98.537123866666661</v>
      </c>
      <c r="AO33" s="5">
        <f>Caso10!$T40</f>
        <v>98.50954866666666</v>
      </c>
    </row>
    <row r="34" spans="1:41" x14ac:dyDescent="0.3">
      <c r="A34" s="4">
        <v>5.6</v>
      </c>
      <c r="B34" s="4">
        <f>Caso1!$E41</f>
        <v>166.50531899999999</v>
      </c>
      <c r="C34" s="4">
        <f>Caso2!$E41</f>
        <v>166.49672799999999</v>
      </c>
      <c r="D34" s="4">
        <f>Caso3!$E41</f>
        <v>166.50099499999999</v>
      </c>
      <c r="E34" s="4">
        <f>Caso4!$E41</f>
        <v>166.502816</v>
      </c>
      <c r="F34" s="4">
        <f>Caso5!$E41</f>
        <v>166.507184</v>
      </c>
      <c r="G34" s="4">
        <f>Caso6!$E41</f>
        <v>166.50456800000001</v>
      </c>
      <c r="H34" s="4">
        <f>Caso7!$E41</f>
        <v>166.49919800000001</v>
      </c>
      <c r="I34" s="4">
        <f>Caso8!$E41</f>
        <v>166.50197</v>
      </c>
      <c r="J34" s="4">
        <f>Caso9!$E41</f>
        <v>166.504662</v>
      </c>
      <c r="K34" s="4">
        <f>Caso10!$E41</f>
        <v>166.49939000000001</v>
      </c>
      <c r="L34" s="4">
        <f>Caso1!$F41</f>
        <v>163.48180099999999</v>
      </c>
      <c r="M34" s="4">
        <f>Caso2!$F41</f>
        <v>163.09210899999999</v>
      </c>
      <c r="N34" s="4">
        <f>Caso3!$F41</f>
        <v>163.13436999999999</v>
      </c>
      <c r="O34" s="4">
        <f>Caso4!$F41</f>
        <v>163.43494999999999</v>
      </c>
      <c r="P34" s="4">
        <f>Caso5!$F41</f>
        <v>164.505821</v>
      </c>
      <c r="Q34" s="4">
        <f>Caso6!$F41</f>
        <v>163.89698300000001</v>
      </c>
      <c r="R34" s="4">
        <f>Caso7!$F41</f>
        <v>163.17891299999999</v>
      </c>
      <c r="S34" s="4">
        <f>Caso8!$F41</f>
        <v>163.29649900000001</v>
      </c>
      <c r="T34" s="4">
        <f>Caso9!$F41</f>
        <v>163.412858</v>
      </c>
      <c r="U34" s="4">
        <f>Caso10!$F41</f>
        <v>162.70413099999999</v>
      </c>
      <c r="V34" s="5">
        <f>Caso1!$S41</f>
        <v>100</v>
      </c>
      <c r="W34" s="5">
        <f>Caso2!$S41</f>
        <v>100</v>
      </c>
      <c r="X34" s="5">
        <f>Caso3!$S41</f>
        <v>100</v>
      </c>
      <c r="Y34" s="5">
        <f>Caso4!$S41</f>
        <v>100</v>
      </c>
      <c r="Z34" s="5">
        <f>Caso5!$S41</f>
        <v>100</v>
      </c>
      <c r="AA34" s="5">
        <f>Caso6!$S41</f>
        <v>100</v>
      </c>
      <c r="AB34" s="5">
        <f>Caso7!$S41</f>
        <v>100</v>
      </c>
      <c r="AC34" s="5">
        <f>Caso8!$S41</f>
        <v>100</v>
      </c>
      <c r="AD34" s="5">
        <f>Caso9!$S41</f>
        <v>100</v>
      </c>
      <c r="AE34" s="5">
        <f>Caso10!$S41</f>
        <v>100</v>
      </c>
      <c r="AF34" s="5">
        <f>Caso1!$T41</f>
        <v>99.31915134502924</v>
      </c>
      <c r="AG34" s="5">
        <f>Caso2!$T41</f>
        <v>97.965626243386239</v>
      </c>
      <c r="AH34" s="5">
        <f>Caso3!$T41</f>
        <v>98.632418666666666</v>
      </c>
      <c r="AI34" s="5">
        <f>Caso4!$T41</f>
        <v>98.932198222222212</v>
      </c>
      <c r="AJ34" s="5">
        <f>Caso5!$T41</f>
        <v>98.807717600000004</v>
      </c>
      <c r="AK34" s="5">
        <f>Caso6!$T41</f>
        <v>98.793877599999988</v>
      </c>
      <c r="AL34" s="5">
        <f>Caso7!$T41</f>
        <v>98.77085533333333</v>
      </c>
      <c r="AM34" s="5">
        <f>Caso8!$T41</f>
        <v>98.793230222222221</v>
      </c>
      <c r="AN34" s="5">
        <f>Caso9!$T41</f>
        <v>98.818483466666663</v>
      </c>
      <c r="AO34" s="5">
        <f>Caso10!$T41</f>
        <v>98.795846000000012</v>
      </c>
    </row>
    <row r="35" spans="1:41" x14ac:dyDescent="0.3">
      <c r="A35" s="4">
        <v>5.7</v>
      </c>
      <c r="B35" s="4">
        <f>Caso1!$E42</f>
        <v>166.50618299999999</v>
      </c>
      <c r="C35" s="4">
        <f>Caso2!$E42</f>
        <v>166.49908199999999</v>
      </c>
      <c r="D35" s="4">
        <f>Caso3!$E42</f>
        <v>166.50264799999999</v>
      </c>
      <c r="E35" s="4">
        <f>Caso4!$E42</f>
        <v>166.50411500000001</v>
      </c>
      <c r="F35" s="4">
        <f>Caso5!$E42</f>
        <v>166.50767099999999</v>
      </c>
      <c r="G35" s="4">
        <f>Caso6!$E42</f>
        <v>166.50554299999999</v>
      </c>
      <c r="H35" s="4">
        <f>Caso7!$E42</f>
        <v>166.501181</v>
      </c>
      <c r="I35" s="4">
        <f>Caso8!$E42</f>
        <v>166.503432</v>
      </c>
      <c r="J35" s="4">
        <f>Caso9!$E42</f>
        <v>166.50562099999999</v>
      </c>
      <c r="K35" s="4">
        <f>Caso10!$E42</f>
        <v>166.501339</v>
      </c>
      <c r="L35" s="4">
        <f>Caso1!$F42</f>
        <v>163.55288200000001</v>
      </c>
      <c r="M35" s="4">
        <f>Caso2!$F42</f>
        <v>163.187636</v>
      </c>
      <c r="N35" s="4">
        <f>Caso3!$F42</f>
        <v>163.23136700000001</v>
      </c>
      <c r="O35" s="4">
        <f>Caso4!$F42</f>
        <v>163.50596200000001</v>
      </c>
      <c r="P35" s="4">
        <f>Caso5!$F42</f>
        <v>164.53416899999999</v>
      </c>
      <c r="Q35" s="4">
        <f>Caso6!$F42</f>
        <v>163.95282399999999</v>
      </c>
      <c r="R35" s="4">
        <f>Caso7!$F42</f>
        <v>163.26606000000001</v>
      </c>
      <c r="S35" s="4">
        <f>Caso8!$F42</f>
        <v>163.379019</v>
      </c>
      <c r="T35" s="4">
        <f>Caso9!$F42</f>
        <v>163.49082100000001</v>
      </c>
      <c r="U35" s="4">
        <f>Caso10!$F42</f>
        <v>162.81254899999999</v>
      </c>
      <c r="V35" s="5">
        <f>Caso1!$S42</f>
        <v>100</v>
      </c>
      <c r="W35" s="5">
        <f>Caso2!$S42</f>
        <v>100</v>
      </c>
      <c r="X35" s="5">
        <f>Caso3!$S42</f>
        <v>100</v>
      </c>
      <c r="Y35" s="5">
        <f>Caso4!$S42</f>
        <v>100</v>
      </c>
      <c r="Z35" s="5">
        <f>Caso5!$S42</f>
        <v>99.999898742857141</v>
      </c>
      <c r="AA35" s="5">
        <f>Caso6!$S42</f>
        <v>100</v>
      </c>
      <c r="AB35" s="5">
        <f>Caso7!$S42</f>
        <v>100</v>
      </c>
      <c r="AC35" s="5">
        <f>Caso8!$S42</f>
        <v>100</v>
      </c>
      <c r="AD35" s="5">
        <f>Caso9!$S42</f>
        <v>100</v>
      </c>
      <c r="AE35" s="5">
        <f>Caso10!$S42</f>
        <v>100</v>
      </c>
      <c r="AF35" s="5">
        <f>Caso1!$T42</f>
        <v>99.454960467836258</v>
      </c>
      <c r="AG35" s="5">
        <f>Caso2!$T42</f>
        <v>98.340153227513227</v>
      </c>
      <c r="AH35" s="5">
        <f>Caso3!$T42</f>
        <v>98.895500444444451</v>
      </c>
      <c r="AI35" s="5">
        <f>Caso4!$T42</f>
        <v>99.136358222222228</v>
      </c>
      <c r="AJ35" s="5">
        <f>Caso5!$T42</f>
        <v>99.03985306666668</v>
      </c>
      <c r="AK35" s="5">
        <f>Caso6!$T42</f>
        <v>99.025557066666678</v>
      </c>
      <c r="AL35" s="5">
        <f>Caso7!$T42</f>
        <v>99.006233333333341</v>
      </c>
      <c r="AM35" s="5">
        <f>Caso8!$T42</f>
        <v>99.024539555555563</v>
      </c>
      <c r="AN35" s="5">
        <f>Caso9!$T42</f>
        <v>99.045830133333325</v>
      </c>
      <c r="AO35" s="5">
        <f>Caso10!$T42</f>
        <v>99.02679333333333</v>
      </c>
    </row>
    <row r="36" spans="1:41" x14ac:dyDescent="0.3">
      <c r="A36" s="4">
        <v>5.8</v>
      </c>
      <c r="B36" s="4">
        <f>Caso1!$E43</f>
        <v>166.50687600000001</v>
      </c>
      <c r="C36" s="4">
        <f>Caso2!$E43</f>
        <v>166.50101100000001</v>
      </c>
      <c r="D36" s="4">
        <f>Caso3!$E43</f>
        <v>166.503985</v>
      </c>
      <c r="E36" s="4">
        <f>Caso4!$E43</f>
        <v>166.505169</v>
      </c>
      <c r="F36" s="4">
        <f>Caso5!$E43</f>
        <v>166.50806700000001</v>
      </c>
      <c r="G36" s="4">
        <f>Caso6!$E43</f>
        <v>166.50633400000001</v>
      </c>
      <c r="H36" s="4">
        <f>Caso7!$E43</f>
        <v>166.50278700000001</v>
      </c>
      <c r="I36" s="4">
        <f>Caso8!$E43</f>
        <v>166.504617</v>
      </c>
      <c r="J36" s="4">
        <f>Caso9!$E43</f>
        <v>166.50639799999999</v>
      </c>
      <c r="K36" s="4">
        <f>Caso10!$E43</f>
        <v>166.50291799999999</v>
      </c>
      <c r="L36" s="4">
        <f>Caso1!$F43</f>
        <v>163.61832699999999</v>
      </c>
      <c r="M36" s="4">
        <f>Caso2!$F43</f>
        <v>163.275183</v>
      </c>
      <c r="N36" s="4">
        <f>Caso3!$F43</f>
        <v>163.31984499999999</v>
      </c>
      <c r="O36" s="4">
        <f>Caso4!$F43</f>
        <v>163.571573</v>
      </c>
      <c r="P36" s="4">
        <f>Caso5!$F43</f>
        <v>164.560159</v>
      </c>
      <c r="Q36" s="4">
        <f>Caso6!$F43</f>
        <v>164.00406599999999</v>
      </c>
      <c r="R36" s="4">
        <f>Caso7!$F43</f>
        <v>163.34624099999999</v>
      </c>
      <c r="S36" s="4">
        <f>Caso8!$F43</f>
        <v>163.45481100000001</v>
      </c>
      <c r="T36" s="4">
        <f>Caso9!$F43</f>
        <v>163.56229300000001</v>
      </c>
      <c r="U36" s="4">
        <f>Caso10!$F43</f>
        <v>162.912215</v>
      </c>
      <c r="V36" s="5">
        <f>Caso1!$S43</f>
        <v>100</v>
      </c>
      <c r="W36" s="5">
        <f>Caso2!$S43</f>
        <v>100</v>
      </c>
      <c r="X36" s="5">
        <f>Caso3!$S43</f>
        <v>100</v>
      </c>
      <c r="Y36" s="5">
        <f>Caso4!$S43</f>
        <v>100</v>
      </c>
      <c r="Z36" s="5">
        <f>Caso5!$S43</f>
        <v>99.999914285714283</v>
      </c>
      <c r="AA36" s="5">
        <f>Caso6!$S43</f>
        <v>100</v>
      </c>
      <c r="AB36" s="5">
        <f>Caso7!$S43</f>
        <v>100</v>
      </c>
      <c r="AC36" s="5">
        <f>Caso8!$S43</f>
        <v>100</v>
      </c>
      <c r="AD36" s="5">
        <f>Caso9!$S43</f>
        <v>100</v>
      </c>
      <c r="AE36" s="5">
        <f>Caso10!$S43</f>
        <v>100</v>
      </c>
      <c r="AF36" s="5">
        <f>Caso1!$T43</f>
        <v>99.563591111111108</v>
      </c>
      <c r="AG36" s="5">
        <f>Caso2!$T43</f>
        <v>98.645806560846552</v>
      </c>
      <c r="AH36" s="5">
        <f>Caso3!$T43</f>
        <v>99.10761422222221</v>
      </c>
      <c r="AI36" s="5">
        <f>Caso4!$T43</f>
        <v>99.301363555555554</v>
      </c>
      <c r="AJ36" s="5">
        <f>Caso5!$T43</f>
        <v>99.227575200000004</v>
      </c>
      <c r="AK36" s="5">
        <f>Caso6!$T43</f>
        <v>99.212793466666668</v>
      </c>
      <c r="AL36" s="5">
        <f>Caso7!$T43</f>
        <v>99.196157333333346</v>
      </c>
      <c r="AM36" s="5">
        <f>Caso8!$T43</f>
        <v>99.211289777777779</v>
      </c>
      <c r="AN36" s="5">
        <f>Caso9!$T43</f>
        <v>99.229486533333329</v>
      </c>
      <c r="AO36" s="5">
        <f>Caso10!$T43</f>
        <v>99.213062666666659</v>
      </c>
    </row>
    <row r="37" spans="1:41" x14ac:dyDescent="0.3">
      <c r="A37" s="4">
        <v>5.9</v>
      </c>
      <c r="B37" s="4">
        <f>Caso1!$E44</f>
        <v>166.50743399999999</v>
      </c>
      <c r="C37" s="4">
        <f>Caso2!$E44</f>
        <v>166.502589</v>
      </c>
      <c r="D37" s="4">
        <f>Caso3!$E44</f>
        <v>166.50506799999999</v>
      </c>
      <c r="E37" s="4">
        <f>Caso4!$E44</f>
        <v>166.50602499999999</v>
      </c>
      <c r="F37" s="4">
        <f>Caso5!$E44</f>
        <v>166.50838899999999</v>
      </c>
      <c r="G37" s="4">
        <f>Caso6!$E44</f>
        <v>166.50697500000001</v>
      </c>
      <c r="H37" s="4">
        <f>Caso7!$E44</f>
        <v>166.504088</v>
      </c>
      <c r="I37" s="4">
        <f>Caso8!$E44</f>
        <v>166.50557800000001</v>
      </c>
      <c r="J37" s="4">
        <f>Caso9!$E44</f>
        <v>166.50702899999999</v>
      </c>
      <c r="K37" s="4">
        <f>Caso10!$E44</f>
        <v>166.50419600000001</v>
      </c>
      <c r="L37" s="4">
        <f>Caso1!$F44</f>
        <v>163.67874900000001</v>
      </c>
      <c r="M37" s="4">
        <f>Caso2!$F44</f>
        <v>163.355648</v>
      </c>
      <c r="N37" s="4">
        <f>Caso3!$F44</f>
        <v>163.400823</v>
      </c>
      <c r="O37" s="4">
        <f>Caso4!$F44</f>
        <v>163.63233700000001</v>
      </c>
      <c r="P37" s="4">
        <f>Caso5!$F44</f>
        <v>164.584059</v>
      </c>
      <c r="Q37" s="4">
        <f>Caso6!$F44</f>
        <v>164.05122600000001</v>
      </c>
      <c r="R37" s="4">
        <f>Caso7!$F44</f>
        <v>163.420198</v>
      </c>
      <c r="S37" s="4">
        <f>Caso8!$F44</f>
        <v>163.524619</v>
      </c>
      <c r="T37" s="4">
        <f>Caso9!$F44</f>
        <v>163.62801899999999</v>
      </c>
      <c r="U37" s="4">
        <f>Caso10!$F44</f>
        <v>163.00408400000001</v>
      </c>
      <c r="V37" s="5">
        <f>Caso1!$S44</f>
        <v>100</v>
      </c>
      <c r="W37" s="5">
        <f>Caso2!$S44</f>
        <v>100</v>
      </c>
      <c r="X37" s="5">
        <f>Caso3!$S44</f>
        <v>100</v>
      </c>
      <c r="Y37" s="5">
        <f>Caso4!$S44</f>
        <v>100</v>
      </c>
      <c r="Z37" s="5">
        <f>Caso5!$S44</f>
        <v>99.99992662857143</v>
      </c>
      <c r="AA37" s="5">
        <f>Caso6!$S44</f>
        <v>100</v>
      </c>
      <c r="AB37" s="5">
        <f>Caso7!$S44</f>
        <v>100</v>
      </c>
      <c r="AC37" s="5">
        <f>Caso8!$S44</f>
        <v>100</v>
      </c>
      <c r="AD37" s="5">
        <f>Caso9!$S44</f>
        <v>100</v>
      </c>
      <c r="AE37" s="5">
        <f>Caso10!$S44</f>
        <v>100</v>
      </c>
      <c r="AF37" s="5">
        <f>Caso1!$T44</f>
        <v>99.650559064327496</v>
      </c>
      <c r="AG37" s="5">
        <f>Caso2!$T44</f>
        <v>98.895049312169306</v>
      </c>
      <c r="AH37" s="5">
        <f>Caso3!$T44</f>
        <v>99.278664000000006</v>
      </c>
      <c r="AI37" s="5">
        <f>Caso4!$T44</f>
        <v>99.43473511111111</v>
      </c>
      <c r="AJ37" s="5">
        <f>Caso5!$T44</f>
        <v>99.379433333333338</v>
      </c>
      <c r="AK37" s="5">
        <f>Caso6!$T44</f>
        <v>99.364120533333335</v>
      </c>
      <c r="AL37" s="5">
        <f>Caso7!$T44</f>
        <v>99.349429333333347</v>
      </c>
      <c r="AM37" s="5">
        <f>Caso8!$T44</f>
        <v>99.362083555555543</v>
      </c>
      <c r="AN37" s="5">
        <f>Caso9!$T44</f>
        <v>99.377862133333338</v>
      </c>
      <c r="AO37" s="5">
        <f>Caso10!$T44</f>
        <v>99.363327333333345</v>
      </c>
    </row>
    <row r="38" spans="1:41" x14ac:dyDescent="0.3">
      <c r="A38" s="4">
        <v>6</v>
      </c>
      <c r="B38" s="4">
        <f>Caso1!$E45</f>
        <v>166.50788299999999</v>
      </c>
      <c r="C38" s="4">
        <f>Caso2!$E45</f>
        <v>166.50388000000001</v>
      </c>
      <c r="D38" s="4">
        <f>Caso3!$E45</f>
        <v>166.505944</v>
      </c>
      <c r="E38" s="4">
        <f>Caso4!$E45</f>
        <v>166.506719</v>
      </c>
      <c r="F38" s="4">
        <f>Caso5!$E45</f>
        <v>166.50864999999999</v>
      </c>
      <c r="G38" s="4">
        <f>Caso6!$E45</f>
        <v>166.507496</v>
      </c>
      <c r="H38" s="4">
        <f>Caso7!$E45</f>
        <v>166.505143</v>
      </c>
      <c r="I38" s="4">
        <f>Caso8!$E45</f>
        <v>166.50635700000001</v>
      </c>
      <c r="J38" s="4">
        <f>Caso9!$E45</f>
        <v>166.50754000000001</v>
      </c>
      <c r="K38" s="4">
        <f>Caso10!$E45</f>
        <v>166.50523200000001</v>
      </c>
      <c r="L38" s="4">
        <f>Caso1!$F45</f>
        <v>163.73468199999999</v>
      </c>
      <c r="M38" s="4">
        <f>Caso2!$F45</f>
        <v>163.42980399999999</v>
      </c>
      <c r="N38" s="4">
        <f>Caso3!$F45</f>
        <v>163.47517300000001</v>
      </c>
      <c r="O38" s="4">
        <f>Caso4!$F45</f>
        <v>163.68874099999999</v>
      </c>
      <c r="P38" s="4">
        <f>Caso5!$F45</f>
        <v>164.606099</v>
      </c>
      <c r="Q38" s="4">
        <f>Caso6!$F45</f>
        <v>164.09474800000001</v>
      </c>
      <c r="R38" s="4">
        <f>Caso7!$F45</f>
        <v>163.48857899999999</v>
      </c>
      <c r="S38" s="4">
        <f>Caso8!$F45</f>
        <v>163.589088</v>
      </c>
      <c r="T38" s="4">
        <f>Caso9!$F45</f>
        <v>163.68863999999999</v>
      </c>
      <c r="U38" s="4">
        <f>Caso10!$F45</f>
        <v>163.08898600000001</v>
      </c>
      <c r="V38" s="5">
        <f>Caso1!$S45</f>
        <v>100</v>
      </c>
      <c r="W38" s="5">
        <f>Caso2!$S45</f>
        <v>100</v>
      </c>
      <c r="X38" s="5">
        <f>Caso3!$S45</f>
        <v>100</v>
      </c>
      <c r="Y38" s="5">
        <f>Caso4!$S45</f>
        <v>100</v>
      </c>
      <c r="Z38" s="5">
        <f>Caso5!$S45</f>
        <v>99.999936685714289</v>
      </c>
      <c r="AA38" s="5">
        <f>Caso6!$S45</f>
        <v>100</v>
      </c>
      <c r="AB38" s="5">
        <f>Caso7!$S45</f>
        <v>100</v>
      </c>
      <c r="AC38" s="5">
        <f>Caso8!$S45</f>
        <v>100</v>
      </c>
      <c r="AD38" s="5">
        <f>Caso9!$S45</f>
        <v>100</v>
      </c>
      <c r="AE38" s="5">
        <f>Caso10!$S45</f>
        <v>100</v>
      </c>
      <c r="AF38" s="5">
        <f>Caso1!$T45</f>
        <v>99.720261988304102</v>
      </c>
      <c r="AG38" s="5">
        <f>Caso2!$T45</f>
        <v>99.09820952380953</v>
      </c>
      <c r="AH38" s="5">
        <f>Caso3!$T45</f>
        <v>99.41666577777778</v>
      </c>
      <c r="AI38" s="5">
        <f>Caso4!$T45</f>
        <v>99.542578666666671</v>
      </c>
      <c r="AJ38" s="5">
        <f>Caso5!$T45</f>
        <v>99.502313066666659</v>
      </c>
      <c r="AK38" s="5">
        <f>Caso6!$T45</f>
        <v>99.486467199999993</v>
      </c>
      <c r="AL38" s="5">
        <f>Caso7!$T45</f>
        <v>99.47317799999999</v>
      </c>
      <c r="AM38" s="5">
        <f>Caso8!$T45</f>
        <v>99.483894222222219</v>
      </c>
      <c r="AN38" s="5">
        <f>Caso9!$T45</f>
        <v>99.497779600000001</v>
      </c>
      <c r="AO38" s="5">
        <f>Caso10!$T45</f>
        <v>99.484605333333334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E6E51-C178-4A3F-9E49-1D2F31F0EA78}">
  <dimension ref="A3:T45"/>
  <sheetViews>
    <sheetView topLeftCell="A21" workbookViewId="0">
      <selection activeCell="D9" sqref="D9:D45"/>
    </sheetView>
  </sheetViews>
  <sheetFormatPr defaultRowHeight="14.4" x14ac:dyDescent="0.3"/>
  <cols>
    <col min="1" max="1" width="9.6640625" bestFit="1" customWidth="1"/>
    <col min="2" max="2" width="6.44140625" bestFit="1" customWidth="1"/>
    <col min="3" max="3" width="11.33203125" bestFit="1" customWidth="1"/>
    <col min="4" max="12" width="11" bestFit="1" customWidth="1"/>
    <col min="13" max="13" width="11.33203125" customWidth="1"/>
    <col min="14" max="15" width="11" bestFit="1" customWidth="1"/>
    <col min="19" max="19" width="12" bestFit="1" customWidth="1"/>
  </cols>
  <sheetData>
    <row r="3" spans="1:20" ht="100.8" x14ac:dyDescent="0.3">
      <c r="A3" t="s">
        <v>0</v>
      </c>
      <c r="B3" t="s">
        <v>1</v>
      </c>
      <c r="C3" t="s">
        <v>2</v>
      </c>
      <c r="D3" s="2" t="s">
        <v>3</v>
      </c>
      <c r="E3" s="2" t="s">
        <v>4</v>
      </c>
      <c r="F3" s="2" t="s">
        <v>5</v>
      </c>
      <c r="G3" s="2" t="s">
        <v>10</v>
      </c>
      <c r="H3" s="2" t="s">
        <v>11</v>
      </c>
      <c r="I3" s="2" t="s">
        <v>15</v>
      </c>
      <c r="J3" s="2" t="s">
        <v>12</v>
      </c>
      <c r="K3" s="2" t="s">
        <v>13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6</v>
      </c>
      <c r="Q3" s="2" t="s">
        <v>7</v>
      </c>
      <c r="R3" s="2" t="s">
        <v>8</v>
      </c>
      <c r="S3" s="2" t="s">
        <v>14</v>
      </c>
      <c r="T3" s="2" t="s">
        <v>20</v>
      </c>
    </row>
    <row r="4" spans="1:20" x14ac:dyDescent="0.3">
      <c r="A4">
        <v>1</v>
      </c>
      <c r="B4" t="s">
        <v>62</v>
      </c>
      <c r="D4">
        <v>0.5</v>
      </c>
      <c r="E4">
        <v>135.08900600000001</v>
      </c>
      <c r="F4">
        <v>193.412936</v>
      </c>
      <c r="G4" s="1">
        <v>1.0037502899999999E-6</v>
      </c>
      <c r="H4" s="1">
        <v>1.2011723E-4</v>
      </c>
      <c r="I4">
        <v>1.0071210700000001E-3</v>
      </c>
      <c r="J4">
        <v>262.31807500000002</v>
      </c>
      <c r="K4">
        <v>497.95591999999999</v>
      </c>
      <c r="L4">
        <v>53600.261100000003</v>
      </c>
      <c r="M4">
        <v>124.6875</v>
      </c>
      <c r="N4">
        <v>106.875</v>
      </c>
      <c r="O4">
        <v>47268.4375</v>
      </c>
      <c r="P4">
        <v>47500</v>
      </c>
      <c r="Q4">
        <v>1.12824205E-3</v>
      </c>
      <c r="R4">
        <v>54360.535100000001</v>
      </c>
      <c r="S4" s="3">
        <f>100*G4/M4</f>
        <v>8.0501276390977442E-7</v>
      </c>
      <c r="T4" s="3">
        <f>100*H4/N4</f>
        <v>1.1239039064327486E-4</v>
      </c>
    </row>
    <row r="5" spans="1:20" x14ac:dyDescent="0.3">
      <c r="A5">
        <v>2</v>
      </c>
      <c r="B5" t="s">
        <v>62</v>
      </c>
      <c r="D5">
        <v>2</v>
      </c>
      <c r="E5">
        <v>165.13945000000001</v>
      </c>
      <c r="F5">
        <v>-9.8743581900000006</v>
      </c>
      <c r="G5">
        <v>74.636421400000003</v>
      </c>
      <c r="H5" s="1">
        <v>0.27417479300000003</v>
      </c>
      <c r="I5">
        <v>1.5154283099999999</v>
      </c>
      <c r="J5" s="1">
        <v>4.8674020799999998E-24</v>
      </c>
      <c r="K5">
        <v>246.66735</v>
      </c>
      <c r="L5">
        <v>50246.119899999998</v>
      </c>
      <c r="M5">
        <v>124.6875</v>
      </c>
      <c r="N5">
        <v>106.875</v>
      </c>
      <c r="O5">
        <v>47268.4375</v>
      </c>
      <c r="P5">
        <v>47500</v>
      </c>
      <c r="Q5">
        <v>76.426024499999997</v>
      </c>
      <c r="R5">
        <v>50492.787300000004</v>
      </c>
      <c r="S5" s="3">
        <f t="shared" ref="S5:T19" si="0">100*G5/M5</f>
        <v>59.8587840802005</v>
      </c>
      <c r="T5" s="3">
        <f t="shared" si="0"/>
        <v>0.25653781801169595</v>
      </c>
    </row>
    <row r="6" spans="1:20" x14ac:dyDescent="0.3">
      <c r="A6">
        <v>3</v>
      </c>
      <c r="B6" t="s">
        <v>62</v>
      </c>
      <c r="D6">
        <v>2.1</v>
      </c>
      <c r="E6">
        <v>165.56031300000001</v>
      </c>
      <c r="F6">
        <v>-18.294103100000001</v>
      </c>
      <c r="G6">
        <v>131.94923199999999</v>
      </c>
      <c r="H6" s="1">
        <v>0.243567906</v>
      </c>
      <c r="I6">
        <v>2.8550426999999998</v>
      </c>
      <c r="J6" s="1">
        <v>6.4723973299999998E-8</v>
      </c>
      <c r="K6">
        <v>183.202551</v>
      </c>
      <c r="L6">
        <v>50250.354399999997</v>
      </c>
      <c r="M6">
        <v>124.6875</v>
      </c>
      <c r="N6">
        <v>106.875</v>
      </c>
      <c r="O6">
        <v>47268.4375</v>
      </c>
      <c r="P6">
        <v>47500</v>
      </c>
      <c r="Q6">
        <v>135.047843</v>
      </c>
      <c r="R6">
        <v>50433.557000000001</v>
      </c>
      <c r="S6" s="3">
        <f t="shared" si="0"/>
        <v>105.82394546365914</v>
      </c>
      <c r="T6" s="3">
        <f t="shared" si="0"/>
        <v>0.22789979508771929</v>
      </c>
    </row>
    <row r="7" spans="1:20" x14ac:dyDescent="0.3">
      <c r="A7">
        <v>4</v>
      </c>
      <c r="B7" t="s">
        <v>9</v>
      </c>
      <c r="D7">
        <v>2.2000000000000002</v>
      </c>
      <c r="E7">
        <v>160.667878</v>
      </c>
      <c r="F7">
        <v>60.228165300000001</v>
      </c>
      <c r="G7">
        <v>72.437151900000003</v>
      </c>
      <c r="H7" s="1">
        <v>1.24602651E-3</v>
      </c>
      <c r="I7">
        <v>2.2275049299999998</v>
      </c>
      <c r="J7" s="1">
        <v>52.250348099999997</v>
      </c>
      <c r="K7">
        <v>106.888644</v>
      </c>
      <c r="L7">
        <v>50244.195099999997</v>
      </c>
      <c r="M7">
        <v>124.6875</v>
      </c>
      <c r="N7">
        <v>106.875</v>
      </c>
      <c r="O7">
        <v>47268.4375</v>
      </c>
      <c r="P7">
        <v>47500</v>
      </c>
      <c r="Q7">
        <v>74.665902900000006</v>
      </c>
      <c r="R7">
        <v>50403.3341</v>
      </c>
      <c r="S7" s="3">
        <f t="shared" si="0"/>
        <v>58.094958917293241</v>
      </c>
      <c r="T7" s="3">
        <f t="shared" si="0"/>
        <v>1.1658727578947369E-3</v>
      </c>
    </row>
    <row r="8" spans="1:20" x14ac:dyDescent="0.3">
      <c r="A8">
        <v>5</v>
      </c>
      <c r="B8" t="s">
        <v>9</v>
      </c>
      <c r="D8">
        <v>2.2999999999999998</v>
      </c>
      <c r="E8">
        <v>162.35520299999999</v>
      </c>
      <c r="F8">
        <v>60.280800300000003</v>
      </c>
      <c r="G8">
        <v>88.499536899999995</v>
      </c>
      <c r="H8" s="1">
        <v>1.58884006E-3</v>
      </c>
      <c r="I8">
        <v>2.7292264099999999</v>
      </c>
      <c r="J8" s="1">
        <v>36.187963199999999</v>
      </c>
      <c r="K8">
        <v>106.888301</v>
      </c>
      <c r="L8">
        <v>50243.693399999996</v>
      </c>
      <c r="M8">
        <v>124.6875</v>
      </c>
      <c r="N8">
        <v>106.875</v>
      </c>
      <c r="O8">
        <v>47268.4375</v>
      </c>
      <c r="P8">
        <v>47500</v>
      </c>
      <c r="Q8">
        <v>91.230352100000005</v>
      </c>
      <c r="R8">
        <v>50386.7696</v>
      </c>
      <c r="S8" s="3">
        <f t="shared" si="0"/>
        <v>70.977072200501254</v>
      </c>
      <c r="T8" s="3">
        <f t="shared" si="0"/>
        <v>1.4866339742690058E-3</v>
      </c>
    </row>
    <row r="9" spans="1:20" x14ac:dyDescent="0.3">
      <c r="A9">
        <v>6</v>
      </c>
      <c r="B9" t="s">
        <v>9</v>
      </c>
      <c r="D9">
        <v>2.4</v>
      </c>
      <c r="E9">
        <v>164.03850700000001</v>
      </c>
      <c r="F9">
        <v>60.336289299999997</v>
      </c>
      <c r="G9">
        <v>105.205797</v>
      </c>
      <c r="H9">
        <v>1.9840038900000002E-3</v>
      </c>
      <c r="I9">
        <v>3.2541053799999999</v>
      </c>
      <c r="J9" s="1">
        <v>19.481702800000001</v>
      </c>
      <c r="K9">
        <v>106.887906</v>
      </c>
      <c r="L9">
        <v>50243.1685</v>
      </c>
      <c r="M9">
        <v>124.6875</v>
      </c>
      <c r="N9">
        <v>106.875</v>
      </c>
      <c r="O9">
        <v>47268.4375</v>
      </c>
      <c r="P9">
        <v>47500</v>
      </c>
      <c r="Q9">
        <v>108.461887</v>
      </c>
      <c r="R9">
        <v>50369.538099999998</v>
      </c>
      <c r="S9" s="3">
        <f t="shared" si="0"/>
        <v>84.375576541353382</v>
      </c>
      <c r="T9" s="3">
        <f t="shared" si="0"/>
        <v>1.8563779087719299E-3</v>
      </c>
    </row>
    <row r="10" spans="1:20" x14ac:dyDescent="0.3">
      <c r="A10">
        <v>7</v>
      </c>
      <c r="B10" t="s">
        <v>9</v>
      </c>
      <c r="D10">
        <v>2.5</v>
      </c>
      <c r="E10">
        <v>165.71789200000001</v>
      </c>
      <c r="F10">
        <v>60.394578500000001</v>
      </c>
      <c r="G10">
        <v>122.569086</v>
      </c>
      <c r="H10">
        <v>2.4448600000000001E-3</v>
      </c>
      <c r="I10">
        <v>3.8029159699999999</v>
      </c>
      <c r="J10" s="1">
        <v>2.1184135899999998</v>
      </c>
      <c r="K10">
        <v>106.887445</v>
      </c>
      <c r="L10">
        <v>50242.619700000003</v>
      </c>
      <c r="M10">
        <v>124.6875</v>
      </c>
      <c r="N10">
        <v>106.875</v>
      </c>
      <c r="O10">
        <v>47268.4375</v>
      </c>
      <c r="P10">
        <v>47500</v>
      </c>
      <c r="Q10">
        <v>126.374447</v>
      </c>
      <c r="R10">
        <v>50351.625599999999</v>
      </c>
      <c r="S10" s="3">
        <f t="shared" si="0"/>
        <v>98.301021353383462</v>
      </c>
      <c r="T10" s="3">
        <f t="shared" si="0"/>
        <v>2.2875883040935673E-3</v>
      </c>
    </row>
    <row r="11" spans="1:20" x14ac:dyDescent="0.3">
      <c r="A11">
        <v>8</v>
      </c>
      <c r="B11" t="s">
        <v>9</v>
      </c>
      <c r="D11">
        <v>2.6</v>
      </c>
      <c r="E11">
        <v>165.928439</v>
      </c>
      <c r="F11">
        <v>61.294056500000003</v>
      </c>
      <c r="G11">
        <v>124.687505</v>
      </c>
      <c r="H11">
        <v>1.8561285999999999</v>
      </c>
      <c r="I11">
        <v>6.9438896100000003</v>
      </c>
      <c r="J11" s="1">
        <v>5.41834214E-20</v>
      </c>
      <c r="K11">
        <v>105.033761</v>
      </c>
      <c r="L11">
        <v>50239.4787</v>
      </c>
      <c r="M11">
        <v>124.6875</v>
      </c>
      <c r="N11">
        <v>106.875</v>
      </c>
      <c r="O11">
        <v>47268.4375</v>
      </c>
      <c r="P11">
        <v>47500</v>
      </c>
      <c r="Q11">
        <v>133.48752300000001</v>
      </c>
      <c r="R11">
        <v>50344.512499999997</v>
      </c>
      <c r="S11" s="3">
        <f t="shared" si="0"/>
        <v>100.00000401002507</v>
      </c>
      <c r="T11" s="3">
        <f t="shared" si="0"/>
        <v>1.736728514619883</v>
      </c>
    </row>
    <row r="12" spans="1:20" x14ac:dyDescent="0.3">
      <c r="A12">
        <v>9</v>
      </c>
      <c r="B12" t="s">
        <v>9</v>
      </c>
      <c r="D12">
        <v>2.7</v>
      </c>
      <c r="E12">
        <v>165.95551</v>
      </c>
      <c r="F12">
        <v>62.331605799999998</v>
      </c>
      <c r="G12">
        <v>124.6875</v>
      </c>
      <c r="H12">
        <v>6.7485068400000001</v>
      </c>
      <c r="I12">
        <v>8.5097398099999992</v>
      </c>
      <c r="J12" s="1">
        <v>1.11717435E-17</v>
      </c>
      <c r="K12">
        <v>100.141383</v>
      </c>
      <c r="L12">
        <v>50237.912900000003</v>
      </c>
      <c r="M12">
        <v>124.6875</v>
      </c>
      <c r="N12">
        <v>106.875</v>
      </c>
      <c r="O12">
        <v>47268.4375</v>
      </c>
      <c r="P12">
        <v>47500</v>
      </c>
      <c r="Q12">
        <v>139.94574600000001</v>
      </c>
      <c r="R12">
        <v>50338.054300000003</v>
      </c>
      <c r="S12" s="3">
        <f t="shared" si="0"/>
        <v>100</v>
      </c>
      <c r="T12" s="3">
        <f t="shared" si="0"/>
        <v>6.3143923649122806</v>
      </c>
    </row>
    <row r="13" spans="1:20" x14ac:dyDescent="0.3">
      <c r="A13">
        <v>10</v>
      </c>
      <c r="B13" t="s">
        <v>9</v>
      </c>
      <c r="D13">
        <v>2.8</v>
      </c>
      <c r="E13">
        <v>165.989509</v>
      </c>
      <c r="F13">
        <v>64.513585899999995</v>
      </c>
      <c r="G13">
        <v>124.68749099999999</v>
      </c>
      <c r="H13">
        <v>12.8923886</v>
      </c>
      <c r="I13">
        <v>10.412112199999999</v>
      </c>
      <c r="J13" s="1">
        <v>4.9441027500000003E-18</v>
      </c>
      <c r="K13">
        <v>93.997499700000006</v>
      </c>
      <c r="L13">
        <v>50236.010499999997</v>
      </c>
      <c r="M13">
        <v>124.6875</v>
      </c>
      <c r="N13">
        <v>106.875</v>
      </c>
      <c r="O13">
        <v>47268.4375</v>
      </c>
      <c r="P13">
        <v>47500</v>
      </c>
      <c r="Q13">
        <v>147.99199200000001</v>
      </c>
      <c r="R13">
        <v>50330.008000000002</v>
      </c>
      <c r="S13" s="3">
        <f t="shared" si="0"/>
        <v>99.999992781954873</v>
      </c>
      <c r="T13" s="3">
        <f t="shared" si="0"/>
        <v>12.063053660818714</v>
      </c>
    </row>
    <row r="14" spans="1:20" x14ac:dyDescent="0.3">
      <c r="A14">
        <v>11</v>
      </c>
      <c r="B14" t="s">
        <v>9</v>
      </c>
      <c r="D14">
        <v>2.9</v>
      </c>
      <c r="E14">
        <v>166.025407</v>
      </c>
      <c r="F14">
        <v>69.130418899999995</v>
      </c>
      <c r="G14">
        <v>124.687466</v>
      </c>
      <c r="H14">
        <v>19.380815999999999</v>
      </c>
      <c r="I14">
        <v>13.391057399999999</v>
      </c>
      <c r="J14" s="1">
        <v>2.3946942799999998E-18</v>
      </c>
      <c r="K14">
        <v>87.5090723</v>
      </c>
      <c r="L14">
        <v>50233.031600000002</v>
      </c>
      <c r="M14">
        <v>124.6875</v>
      </c>
      <c r="N14">
        <v>106.875</v>
      </c>
      <c r="O14">
        <v>47268.4375</v>
      </c>
      <c r="P14">
        <v>47500</v>
      </c>
      <c r="Q14">
        <v>157.459339</v>
      </c>
      <c r="R14">
        <v>50320.5406</v>
      </c>
      <c r="S14" s="3">
        <f t="shared" si="0"/>
        <v>99.999972731829573</v>
      </c>
      <c r="T14" s="3">
        <f t="shared" si="0"/>
        <v>18.134096842105262</v>
      </c>
    </row>
    <row r="15" spans="1:20" x14ac:dyDescent="0.3">
      <c r="A15">
        <v>12</v>
      </c>
      <c r="B15" t="s">
        <v>9</v>
      </c>
      <c r="D15">
        <v>3</v>
      </c>
      <c r="E15">
        <v>166.06162399999999</v>
      </c>
      <c r="F15">
        <v>77.965848899999997</v>
      </c>
      <c r="G15">
        <v>124.687454</v>
      </c>
      <c r="H15">
        <v>25.930174999999998</v>
      </c>
      <c r="I15">
        <v>18.632346200000001</v>
      </c>
      <c r="J15" s="1">
        <v>1.2411614299999999E-18</v>
      </c>
      <c r="K15">
        <v>80.959715000000003</v>
      </c>
      <c r="L15">
        <v>50227.790300000001</v>
      </c>
      <c r="M15">
        <v>124.6875</v>
      </c>
      <c r="N15">
        <v>106.875</v>
      </c>
      <c r="O15">
        <v>47268.4375</v>
      </c>
      <c r="P15">
        <v>47500</v>
      </c>
      <c r="Q15">
        <v>169.24997500000001</v>
      </c>
      <c r="R15">
        <v>50308.75</v>
      </c>
      <c r="S15" s="3">
        <f t="shared" si="0"/>
        <v>99.999963107769418</v>
      </c>
      <c r="T15" s="3">
        <f t="shared" si="0"/>
        <v>24.262152046783626</v>
      </c>
    </row>
    <row r="16" spans="1:20" x14ac:dyDescent="0.3">
      <c r="A16">
        <v>13</v>
      </c>
      <c r="B16" t="s">
        <v>9</v>
      </c>
      <c r="D16">
        <v>3.1</v>
      </c>
      <c r="E16">
        <v>166.097634</v>
      </c>
      <c r="F16">
        <v>91.905237200000002</v>
      </c>
      <c r="G16">
        <v>124.687482</v>
      </c>
      <c r="H16">
        <v>32.448530599999998</v>
      </c>
      <c r="I16">
        <v>28.905569700000001</v>
      </c>
      <c r="J16" s="1">
        <v>6.5487928600000001E-19</v>
      </c>
      <c r="K16">
        <v>74.441355900000005</v>
      </c>
      <c r="L16">
        <v>50217.517099999997</v>
      </c>
      <c r="M16">
        <v>124.6875</v>
      </c>
      <c r="N16">
        <v>106.875</v>
      </c>
      <c r="O16">
        <v>47268.4375</v>
      </c>
      <c r="P16">
        <v>47500</v>
      </c>
      <c r="Q16">
        <v>186.04158200000001</v>
      </c>
      <c r="R16">
        <v>50291.958400000003</v>
      </c>
      <c r="S16" s="3">
        <f t="shared" si="0"/>
        <v>99.999985563909775</v>
      </c>
      <c r="T16" s="3">
        <f t="shared" si="0"/>
        <v>30.361198222222221</v>
      </c>
    </row>
    <row r="17" spans="1:20" x14ac:dyDescent="0.3">
      <c r="A17">
        <v>14</v>
      </c>
      <c r="B17" t="s">
        <v>9</v>
      </c>
      <c r="D17">
        <v>3.2</v>
      </c>
      <c r="E17">
        <v>166.133286</v>
      </c>
      <c r="F17">
        <v>110.31672399999999</v>
      </c>
      <c r="G17">
        <v>124.687501</v>
      </c>
      <c r="H17">
        <v>38.916819099999998</v>
      </c>
      <c r="I17">
        <v>51.792907900000003</v>
      </c>
      <c r="J17" s="1">
        <v>3.6091115700000001E-19</v>
      </c>
      <c r="K17">
        <v>67.973070199999995</v>
      </c>
      <c r="L17">
        <v>50194.629699999998</v>
      </c>
      <c r="M17">
        <v>124.6875</v>
      </c>
      <c r="N17">
        <v>106.875</v>
      </c>
      <c r="O17">
        <v>47268.4375</v>
      </c>
      <c r="P17">
        <v>47500</v>
      </c>
      <c r="Q17">
        <v>215.39722800000001</v>
      </c>
      <c r="R17">
        <v>50262.602800000001</v>
      </c>
      <c r="S17" s="3">
        <f t="shared" si="0"/>
        <v>100.000000802005</v>
      </c>
      <c r="T17" s="3">
        <f t="shared" si="0"/>
        <v>36.413397988304091</v>
      </c>
    </row>
    <row r="18" spans="1:20" x14ac:dyDescent="0.3">
      <c r="A18">
        <v>15</v>
      </c>
      <c r="B18" t="s">
        <v>9</v>
      </c>
      <c r="D18">
        <v>3.3</v>
      </c>
      <c r="E18">
        <v>166.168791</v>
      </c>
      <c r="F18">
        <v>130.22797600000001</v>
      </c>
      <c r="G18">
        <v>124.6875</v>
      </c>
      <c r="H18">
        <v>45.394662699999998</v>
      </c>
      <c r="I18">
        <v>108.619272</v>
      </c>
      <c r="J18" s="1">
        <v>1.7500736500000001E-19</v>
      </c>
      <c r="K18">
        <v>61.495227399999997</v>
      </c>
      <c r="L18">
        <v>50137.8033</v>
      </c>
      <c r="M18">
        <v>124.6875</v>
      </c>
      <c r="N18">
        <v>106.875</v>
      </c>
      <c r="O18">
        <v>47268.4375</v>
      </c>
      <c r="P18">
        <v>47500</v>
      </c>
      <c r="Q18">
        <v>278.70143400000001</v>
      </c>
      <c r="R18">
        <v>50199.298600000002</v>
      </c>
      <c r="S18" s="3">
        <f t="shared" si="0"/>
        <v>100</v>
      </c>
      <c r="T18" s="3">
        <f t="shared" si="0"/>
        <v>42.474538198830409</v>
      </c>
    </row>
    <row r="19" spans="1:20" x14ac:dyDescent="0.3">
      <c r="A19">
        <v>16</v>
      </c>
      <c r="B19" t="s">
        <v>9</v>
      </c>
      <c r="D19">
        <v>3.4</v>
      </c>
      <c r="E19">
        <v>166.204397</v>
      </c>
      <c r="F19">
        <v>144.313546</v>
      </c>
      <c r="G19">
        <v>124.68749699999999</v>
      </c>
      <c r="H19">
        <v>51.939920600000001</v>
      </c>
      <c r="I19">
        <v>223.19676100000001</v>
      </c>
      <c r="J19" s="1">
        <v>1.38396531E-19</v>
      </c>
      <c r="K19">
        <v>54.949969000000003</v>
      </c>
      <c r="L19">
        <v>50023.225899999998</v>
      </c>
      <c r="M19">
        <v>124.6875</v>
      </c>
      <c r="N19">
        <v>106.875</v>
      </c>
      <c r="O19">
        <v>47268.4375</v>
      </c>
      <c r="P19">
        <v>47500</v>
      </c>
      <c r="Q19">
        <v>399.82417800000002</v>
      </c>
      <c r="R19">
        <v>50078.175799999997</v>
      </c>
      <c r="S19" s="3">
        <f t="shared" si="0"/>
        <v>99.999997593984943</v>
      </c>
      <c r="T19" s="3">
        <f t="shared" si="0"/>
        <v>48.598756116959066</v>
      </c>
    </row>
    <row r="20" spans="1:20" x14ac:dyDescent="0.3">
      <c r="A20">
        <v>17</v>
      </c>
      <c r="B20" t="s">
        <v>9</v>
      </c>
      <c r="D20">
        <v>3.5</v>
      </c>
      <c r="E20">
        <v>166.23939200000001</v>
      </c>
      <c r="F20">
        <v>151.35982899999999</v>
      </c>
      <c r="G20">
        <v>124.6875</v>
      </c>
      <c r="H20">
        <v>58.3856927</v>
      </c>
      <c r="I20">
        <v>378.218549</v>
      </c>
      <c r="J20" s="1">
        <v>6.1885574899999994E-20</v>
      </c>
      <c r="K20">
        <v>48.5041972</v>
      </c>
      <c r="L20">
        <v>49868.204100000003</v>
      </c>
      <c r="M20">
        <v>124.6875</v>
      </c>
      <c r="N20">
        <v>106.875</v>
      </c>
      <c r="O20">
        <v>47268.4375</v>
      </c>
      <c r="P20">
        <v>47500</v>
      </c>
      <c r="Q20">
        <v>561.291742</v>
      </c>
      <c r="R20">
        <v>49916.708299999998</v>
      </c>
      <c r="S20" s="3">
        <f t="shared" ref="S20:S45" si="1">100*G20/M20</f>
        <v>100</v>
      </c>
      <c r="T20" s="3">
        <f t="shared" ref="T20:T45" si="2">100*H20/N20</f>
        <v>54.629887906432749</v>
      </c>
    </row>
    <row r="21" spans="1:20" x14ac:dyDescent="0.3">
      <c r="A21">
        <v>18</v>
      </c>
      <c r="B21" t="s">
        <v>9</v>
      </c>
      <c r="D21">
        <v>3.6</v>
      </c>
      <c r="E21">
        <v>166.27289500000001</v>
      </c>
      <c r="F21">
        <v>154.959294</v>
      </c>
      <c r="G21">
        <v>124.6875</v>
      </c>
      <c r="H21">
        <v>64.540264300000004</v>
      </c>
      <c r="I21">
        <v>549.88030200000003</v>
      </c>
      <c r="J21" s="1">
        <v>4.1787671499999999E-20</v>
      </c>
      <c r="K21">
        <v>42.349625699999997</v>
      </c>
      <c r="L21">
        <v>49696.542300000001</v>
      </c>
      <c r="M21">
        <v>124.6875</v>
      </c>
      <c r="N21">
        <v>106.875</v>
      </c>
      <c r="O21">
        <v>47268.4375</v>
      </c>
      <c r="P21">
        <v>47500</v>
      </c>
      <c r="Q21">
        <v>739.10806600000001</v>
      </c>
      <c r="R21">
        <v>49738.891900000002</v>
      </c>
      <c r="S21" s="3">
        <f t="shared" si="1"/>
        <v>100</v>
      </c>
      <c r="T21" s="3">
        <f t="shared" si="2"/>
        <v>60.388551391812875</v>
      </c>
    </row>
    <row r="22" spans="1:20" x14ac:dyDescent="0.3">
      <c r="A22">
        <v>19</v>
      </c>
      <c r="B22" t="s">
        <v>9</v>
      </c>
      <c r="D22">
        <v>3.7</v>
      </c>
      <c r="E22">
        <v>166.30435900000001</v>
      </c>
      <c r="F22">
        <v>157.05121299999999</v>
      </c>
      <c r="G22">
        <v>124.6875</v>
      </c>
      <c r="H22">
        <v>70.295894200000006</v>
      </c>
      <c r="I22">
        <v>728.66797099999997</v>
      </c>
      <c r="J22" s="1">
        <v>1.40941974E-20</v>
      </c>
      <c r="K22">
        <v>36.593995800000002</v>
      </c>
      <c r="L22">
        <v>49517.7546</v>
      </c>
      <c r="M22">
        <v>124.6875</v>
      </c>
      <c r="N22">
        <v>106.875</v>
      </c>
      <c r="O22">
        <v>47268.4375</v>
      </c>
      <c r="P22">
        <v>47500</v>
      </c>
      <c r="Q22">
        <v>923.65136600000005</v>
      </c>
      <c r="R22">
        <v>49554.348599999998</v>
      </c>
      <c r="S22" s="3">
        <f t="shared" si="1"/>
        <v>100</v>
      </c>
      <c r="T22" s="3">
        <f t="shared" si="2"/>
        <v>65.773936093567258</v>
      </c>
    </row>
    <row r="23" spans="1:20" x14ac:dyDescent="0.3">
      <c r="A23">
        <v>20</v>
      </c>
      <c r="B23" t="s">
        <v>9</v>
      </c>
      <c r="D23">
        <v>3.8</v>
      </c>
      <c r="E23">
        <v>166.33341999999999</v>
      </c>
      <c r="F23">
        <v>158.40604500000001</v>
      </c>
      <c r="G23">
        <v>124.687495</v>
      </c>
      <c r="H23">
        <v>75.587147799999997</v>
      </c>
      <c r="I23">
        <v>911.205107</v>
      </c>
      <c r="J23" s="1">
        <v>2.60972404E-20</v>
      </c>
      <c r="K23">
        <v>31.3027427</v>
      </c>
      <c r="L23">
        <v>49335.217499999999</v>
      </c>
      <c r="M23">
        <v>124.6875</v>
      </c>
      <c r="N23">
        <v>106.875</v>
      </c>
      <c r="O23">
        <v>47268.4375</v>
      </c>
      <c r="P23">
        <v>47500</v>
      </c>
      <c r="Q23">
        <v>1111.47975</v>
      </c>
      <c r="R23">
        <v>49366.520199999999</v>
      </c>
      <c r="S23" s="3">
        <f t="shared" si="1"/>
        <v>99.999995989974934</v>
      </c>
      <c r="T23" s="3">
        <f t="shared" si="2"/>
        <v>70.724816654970752</v>
      </c>
    </row>
    <row r="24" spans="1:20" x14ac:dyDescent="0.3">
      <c r="A24">
        <v>21</v>
      </c>
      <c r="B24" t="s">
        <v>9</v>
      </c>
      <c r="D24">
        <v>3.9</v>
      </c>
      <c r="E24">
        <v>166.35983400000001</v>
      </c>
      <c r="F24">
        <v>159.35622900000001</v>
      </c>
      <c r="G24">
        <v>124.68749800000001</v>
      </c>
      <c r="H24">
        <v>80.373688200000004</v>
      </c>
      <c r="I24">
        <v>1096.11142</v>
      </c>
      <c r="J24" s="1">
        <v>1.3033145E-20</v>
      </c>
      <c r="K24">
        <v>26.516201899999999</v>
      </c>
      <c r="L24">
        <v>49150.311199999996</v>
      </c>
      <c r="M24">
        <v>124.6875</v>
      </c>
      <c r="N24">
        <v>106.875</v>
      </c>
      <c r="O24">
        <v>47268.4375</v>
      </c>
      <c r="P24">
        <v>47500</v>
      </c>
      <c r="Q24">
        <v>1301.1726100000001</v>
      </c>
      <c r="R24">
        <v>49176.827400000002</v>
      </c>
      <c r="S24" s="3">
        <f t="shared" si="1"/>
        <v>99.999998395989991</v>
      </c>
      <c r="T24" s="3">
        <f t="shared" si="2"/>
        <v>75.203450947368424</v>
      </c>
    </row>
    <row r="25" spans="1:20" x14ac:dyDescent="0.3">
      <c r="A25">
        <v>22</v>
      </c>
      <c r="B25" t="s">
        <v>9</v>
      </c>
      <c r="D25">
        <v>4</v>
      </c>
      <c r="E25">
        <v>166.38346200000001</v>
      </c>
      <c r="F25">
        <v>160.06302500000001</v>
      </c>
      <c r="G25">
        <v>124.687499</v>
      </c>
      <c r="H25">
        <v>84.635414900000001</v>
      </c>
      <c r="I25">
        <v>1282.73561</v>
      </c>
      <c r="J25" s="1">
        <v>7.6800337499999997E-19</v>
      </c>
      <c r="K25">
        <v>22.254475100000001</v>
      </c>
      <c r="L25">
        <v>48963.686999999998</v>
      </c>
      <c r="M25">
        <v>124.6875</v>
      </c>
      <c r="N25">
        <v>106.875</v>
      </c>
      <c r="O25">
        <v>47268.4375</v>
      </c>
      <c r="P25">
        <v>47500</v>
      </c>
      <c r="Q25">
        <v>1492.05852</v>
      </c>
      <c r="R25">
        <v>48985.941500000001</v>
      </c>
      <c r="S25" s="3">
        <f t="shared" si="1"/>
        <v>99.999999197994995</v>
      </c>
      <c r="T25" s="3">
        <f t="shared" si="2"/>
        <v>79.191031485380108</v>
      </c>
    </row>
    <row r="26" spans="1:20" x14ac:dyDescent="0.3">
      <c r="A26">
        <v>23</v>
      </c>
      <c r="B26" t="s">
        <v>9</v>
      </c>
      <c r="D26">
        <v>4.0999999999999996</v>
      </c>
      <c r="E26">
        <v>166.40427199999999</v>
      </c>
      <c r="F26">
        <v>160.61258100000001</v>
      </c>
      <c r="G26">
        <v>124.687499</v>
      </c>
      <c r="H26">
        <v>88.371825599999994</v>
      </c>
      <c r="I26">
        <v>1470.72003</v>
      </c>
      <c r="J26" s="1">
        <v>2.6349342600000001E-21</v>
      </c>
      <c r="K26">
        <v>18.518064299999999</v>
      </c>
      <c r="L26">
        <v>48775.702599999997</v>
      </c>
      <c r="M26">
        <v>124.6875</v>
      </c>
      <c r="N26">
        <v>106.875</v>
      </c>
      <c r="O26">
        <v>47268.4375</v>
      </c>
      <c r="P26">
        <v>47500</v>
      </c>
      <c r="Q26">
        <v>1683.77935</v>
      </c>
      <c r="R26">
        <v>48794.220600000001</v>
      </c>
      <c r="S26" s="3">
        <f t="shared" si="1"/>
        <v>99.999999197994995</v>
      </c>
      <c r="T26" s="3">
        <f t="shared" si="2"/>
        <v>82.687088280701744</v>
      </c>
    </row>
    <row r="27" spans="1:20" x14ac:dyDescent="0.3">
      <c r="A27">
        <v>24</v>
      </c>
      <c r="B27" t="s">
        <v>9</v>
      </c>
      <c r="D27">
        <v>4.2</v>
      </c>
      <c r="E27">
        <v>166.42233300000001</v>
      </c>
      <c r="F27">
        <v>161.05456000000001</v>
      </c>
      <c r="G27">
        <v>124.6875</v>
      </c>
      <c r="H27">
        <v>91.599998099999993</v>
      </c>
      <c r="I27">
        <v>1659.8378299999999</v>
      </c>
      <c r="J27" s="1">
        <v>7.3572173600000001E-22</v>
      </c>
      <c r="K27">
        <v>15.289891799999999</v>
      </c>
      <c r="L27">
        <v>48586.584799999997</v>
      </c>
      <c r="M27">
        <v>124.6875</v>
      </c>
      <c r="N27">
        <v>106.875</v>
      </c>
      <c r="O27">
        <v>47268.4375</v>
      </c>
      <c r="P27">
        <v>47500</v>
      </c>
      <c r="Q27">
        <v>1876.1253300000001</v>
      </c>
      <c r="R27">
        <v>48601.8747</v>
      </c>
      <c r="S27" s="3">
        <f t="shared" si="1"/>
        <v>100</v>
      </c>
      <c r="T27" s="3">
        <f t="shared" si="2"/>
        <v>85.70760056140351</v>
      </c>
    </row>
    <row r="28" spans="1:20" x14ac:dyDescent="0.3">
      <c r="A28">
        <v>25</v>
      </c>
      <c r="B28" t="s">
        <v>9</v>
      </c>
      <c r="D28">
        <v>4.3</v>
      </c>
      <c r="E28">
        <v>166.43779499999999</v>
      </c>
      <c r="F28">
        <v>161.41937999999999</v>
      </c>
      <c r="G28">
        <v>124.6875</v>
      </c>
      <c r="H28">
        <v>94.351398099999997</v>
      </c>
      <c r="I28">
        <v>1849.9239</v>
      </c>
      <c r="J28" s="1">
        <v>1.8966191300000001E-21</v>
      </c>
      <c r="K28">
        <v>12.5384919</v>
      </c>
      <c r="L28">
        <v>48396.498699999996</v>
      </c>
      <c r="M28">
        <v>124.6875</v>
      </c>
      <c r="N28">
        <v>106.875</v>
      </c>
      <c r="O28">
        <v>47268.4375</v>
      </c>
      <c r="P28">
        <v>47500</v>
      </c>
      <c r="Q28">
        <v>2068.9627999999998</v>
      </c>
      <c r="R28">
        <v>48409.037199999999</v>
      </c>
      <c r="S28" s="3">
        <f t="shared" si="1"/>
        <v>100</v>
      </c>
      <c r="T28" s="3">
        <f t="shared" si="2"/>
        <v>88.282009918128665</v>
      </c>
    </row>
    <row r="29" spans="1:20" x14ac:dyDescent="0.3">
      <c r="A29">
        <v>26</v>
      </c>
      <c r="B29" t="s">
        <v>9</v>
      </c>
      <c r="D29">
        <v>4.4000000000000004</v>
      </c>
      <c r="E29">
        <v>166.45086900000001</v>
      </c>
      <c r="F29">
        <v>161.726629</v>
      </c>
      <c r="G29">
        <v>124.6875</v>
      </c>
      <c r="H29">
        <v>96.667785499999994</v>
      </c>
      <c r="I29">
        <v>2040.8446300000001</v>
      </c>
      <c r="J29" s="1">
        <v>9.7122458800000005E-20</v>
      </c>
      <c r="K29">
        <v>10.222104399999999</v>
      </c>
      <c r="L29">
        <v>48205.578000000001</v>
      </c>
      <c r="M29">
        <v>124.6875</v>
      </c>
      <c r="N29">
        <v>106.875</v>
      </c>
      <c r="O29">
        <v>47268.4375</v>
      </c>
      <c r="P29">
        <v>47500</v>
      </c>
      <c r="Q29">
        <v>2262.19992</v>
      </c>
      <c r="R29">
        <v>48215.8001</v>
      </c>
      <c r="S29" s="3">
        <f t="shared" si="1"/>
        <v>100</v>
      </c>
      <c r="T29" s="3">
        <f t="shared" si="2"/>
        <v>90.449389941520465</v>
      </c>
    </row>
    <row r="30" spans="1:20" x14ac:dyDescent="0.3">
      <c r="A30">
        <v>27</v>
      </c>
      <c r="B30" t="s">
        <v>9</v>
      </c>
      <c r="D30">
        <v>4.5</v>
      </c>
      <c r="E30">
        <v>166.461803</v>
      </c>
      <c r="F30">
        <v>161.989485</v>
      </c>
      <c r="G30">
        <v>124.6875</v>
      </c>
      <c r="H30">
        <v>98.596897799999994</v>
      </c>
      <c r="I30">
        <v>2232.48495</v>
      </c>
      <c r="J30" s="1">
        <v>1.1198350500000001E-24</v>
      </c>
      <c r="K30">
        <v>8.2929921699999998</v>
      </c>
      <c r="L30">
        <v>48013.937700000002</v>
      </c>
      <c r="M30">
        <v>124.6875</v>
      </c>
      <c r="N30">
        <v>106.875</v>
      </c>
      <c r="O30">
        <v>47268.4375</v>
      </c>
      <c r="P30">
        <v>47500</v>
      </c>
      <c r="Q30">
        <v>2455.76935</v>
      </c>
      <c r="R30">
        <v>48022.230600000003</v>
      </c>
      <c r="S30" s="3">
        <f t="shared" si="1"/>
        <v>100</v>
      </c>
      <c r="T30" s="3">
        <f t="shared" si="2"/>
        <v>92.254407298245596</v>
      </c>
    </row>
    <row r="31" spans="1:20" x14ac:dyDescent="0.3">
      <c r="A31">
        <v>28</v>
      </c>
      <c r="B31" t="s">
        <v>9</v>
      </c>
      <c r="D31">
        <v>4.5999999999999996</v>
      </c>
      <c r="E31">
        <v>166.47086200000001</v>
      </c>
      <c r="F31">
        <v>162.217161</v>
      </c>
      <c r="G31">
        <v>124.6875</v>
      </c>
      <c r="H31">
        <v>100.18853</v>
      </c>
      <c r="I31">
        <v>2424.74305</v>
      </c>
      <c r="J31" s="1">
        <v>2.4461331300000001E-20</v>
      </c>
      <c r="K31">
        <v>6.7013595400000003</v>
      </c>
      <c r="L31">
        <v>47821.679600000003</v>
      </c>
      <c r="M31">
        <v>124.6875</v>
      </c>
      <c r="N31">
        <v>106.875</v>
      </c>
      <c r="O31">
        <v>47268.4375</v>
      </c>
      <c r="P31">
        <v>47500</v>
      </c>
      <c r="Q31">
        <v>2649.6190799999999</v>
      </c>
      <c r="R31">
        <v>47828.380899999996</v>
      </c>
      <c r="S31" s="3">
        <f t="shared" si="1"/>
        <v>100</v>
      </c>
      <c r="T31" s="3">
        <f t="shared" si="2"/>
        <v>93.743653801169586</v>
      </c>
    </row>
    <row r="32" spans="1:20" x14ac:dyDescent="0.3">
      <c r="A32">
        <v>29</v>
      </c>
      <c r="B32" t="s">
        <v>9</v>
      </c>
      <c r="D32">
        <v>4.7</v>
      </c>
      <c r="E32">
        <v>166.478309</v>
      </c>
      <c r="F32">
        <v>162.416327</v>
      </c>
      <c r="G32">
        <v>124.6875</v>
      </c>
      <c r="H32">
        <v>101.49141299999999</v>
      </c>
      <c r="I32">
        <v>2617.52844</v>
      </c>
      <c r="J32" s="1">
        <v>7.7553072199999997E-25</v>
      </c>
      <c r="K32">
        <v>5.3984769400000001</v>
      </c>
      <c r="L32">
        <v>47628.894200000002</v>
      </c>
      <c r="M32">
        <v>124.6875</v>
      </c>
      <c r="N32">
        <v>106.875</v>
      </c>
      <c r="O32">
        <v>47268.4375</v>
      </c>
      <c r="P32">
        <v>47500</v>
      </c>
      <c r="Q32">
        <v>2843.7073500000001</v>
      </c>
      <c r="R32">
        <v>47634.292699999998</v>
      </c>
      <c r="S32" s="3">
        <f t="shared" si="1"/>
        <v>100</v>
      </c>
      <c r="T32" s="3">
        <f t="shared" si="2"/>
        <v>94.96272561403508</v>
      </c>
    </row>
    <row r="33" spans="1:20" x14ac:dyDescent="0.3">
      <c r="A33">
        <v>30</v>
      </c>
      <c r="B33" t="s">
        <v>9</v>
      </c>
      <c r="D33">
        <v>4.8</v>
      </c>
      <c r="E33">
        <v>166.48439099999999</v>
      </c>
      <c r="F33">
        <v>162.591971</v>
      </c>
      <c r="G33">
        <v>124.6875</v>
      </c>
      <c r="H33">
        <v>102.551023</v>
      </c>
      <c r="I33">
        <v>2810.7613000000001</v>
      </c>
      <c r="J33" s="1">
        <v>7.5538341699999995E-25</v>
      </c>
      <c r="K33">
        <v>4.3388669599999998</v>
      </c>
      <c r="L33">
        <v>47435.6613</v>
      </c>
      <c r="M33">
        <v>124.6875</v>
      </c>
      <c r="N33">
        <v>106.875</v>
      </c>
      <c r="O33">
        <v>47268.4375</v>
      </c>
      <c r="P33">
        <v>47500</v>
      </c>
      <c r="Q33">
        <v>3037.9998300000002</v>
      </c>
      <c r="R33">
        <v>47440.000200000002</v>
      </c>
      <c r="S33" s="3">
        <f t="shared" si="1"/>
        <v>100</v>
      </c>
      <c r="T33" s="3">
        <f t="shared" si="2"/>
        <v>95.954173567251473</v>
      </c>
    </row>
    <row r="34" spans="1:20" x14ac:dyDescent="0.3">
      <c r="A34">
        <v>31</v>
      </c>
      <c r="B34" t="s">
        <v>9</v>
      </c>
      <c r="D34">
        <v>4.9000000000000004</v>
      </c>
      <c r="E34">
        <v>166.48933099999999</v>
      </c>
      <c r="F34">
        <v>162.74792199999999</v>
      </c>
      <c r="G34">
        <v>124.6875</v>
      </c>
      <c r="H34">
        <v>103.408286</v>
      </c>
      <c r="I34">
        <v>3004.37203</v>
      </c>
      <c r="J34" s="1">
        <v>8.9381713200000001E-29</v>
      </c>
      <c r="K34">
        <v>3.48160391</v>
      </c>
      <c r="L34">
        <v>47242.050600000002</v>
      </c>
      <c r="M34">
        <v>124.6875</v>
      </c>
      <c r="N34">
        <v>106.875</v>
      </c>
      <c r="O34">
        <v>47268.4375</v>
      </c>
      <c r="P34">
        <v>47500</v>
      </c>
      <c r="Q34">
        <v>3232.4678100000001</v>
      </c>
      <c r="R34">
        <v>47245.532200000001</v>
      </c>
      <c r="S34" s="3">
        <f t="shared" si="1"/>
        <v>100</v>
      </c>
      <c r="T34" s="3">
        <f t="shared" si="2"/>
        <v>96.756290994152053</v>
      </c>
    </row>
    <row r="35" spans="1:20" x14ac:dyDescent="0.3">
      <c r="A35">
        <v>32</v>
      </c>
      <c r="B35" t="s">
        <v>9</v>
      </c>
      <c r="D35">
        <v>5</v>
      </c>
      <c r="E35">
        <v>166.49332799999999</v>
      </c>
      <c r="F35">
        <v>162.88719499999999</v>
      </c>
      <c r="G35">
        <v>124.6875</v>
      </c>
      <c r="H35">
        <v>104.099001</v>
      </c>
      <c r="I35">
        <v>3198.30062</v>
      </c>
      <c r="J35" s="1">
        <v>7.9928290000000003E-22</v>
      </c>
      <c r="K35">
        <v>2.7908890999999998</v>
      </c>
      <c r="L35">
        <v>47048.122000000003</v>
      </c>
      <c r="M35">
        <v>124.6875</v>
      </c>
      <c r="N35">
        <v>106.875</v>
      </c>
      <c r="O35">
        <v>47268.4375</v>
      </c>
      <c r="P35">
        <v>47500</v>
      </c>
      <c r="Q35">
        <v>3427.0871200000001</v>
      </c>
      <c r="R35">
        <v>47050.912900000003</v>
      </c>
      <c r="S35" s="3">
        <f t="shared" si="1"/>
        <v>100</v>
      </c>
      <c r="T35" s="3">
        <f t="shared" si="2"/>
        <v>97.402574035087724</v>
      </c>
    </row>
    <row r="36" spans="1:20" x14ac:dyDescent="0.3">
      <c r="A36">
        <v>33</v>
      </c>
      <c r="B36" t="s">
        <v>9</v>
      </c>
      <c r="D36">
        <v>5.0999999999999996</v>
      </c>
      <c r="E36">
        <v>166.49655100000001</v>
      </c>
      <c r="F36">
        <v>163.01220799999999</v>
      </c>
      <c r="G36">
        <v>124.6875</v>
      </c>
      <c r="H36">
        <v>104.65379</v>
      </c>
      <c r="I36">
        <v>3392.4960000000001</v>
      </c>
      <c r="J36" s="1">
        <v>6.6483127399999996E-21</v>
      </c>
      <c r="K36">
        <v>2.23609999</v>
      </c>
      <c r="L36">
        <v>46853.926599999999</v>
      </c>
      <c r="M36">
        <v>124.6875</v>
      </c>
      <c r="N36">
        <v>106.875</v>
      </c>
      <c r="O36">
        <v>47268.4375</v>
      </c>
      <c r="P36">
        <v>47500</v>
      </c>
      <c r="Q36">
        <v>3621.8372899999999</v>
      </c>
      <c r="R36">
        <v>46856.162700000001</v>
      </c>
      <c r="S36" s="3">
        <f t="shared" si="1"/>
        <v>100</v>
      </c>
      <c r="T36" s="3">
        <f t="shared" si="2"/>
        <v>97.921674853801179</v>
      </c>
    </row>
    <row r="37" spans="1:20" x14ac:dyDescent="0.3">
      <c r="A37">
        <v>34</v>
      </c>
      <c r="B37" t="s">
        <v>9</v>
      </c>
      <c r="D37">
        <v>5.2</v>
      </c>
      <c r="E37">
        <v>166.499144</v>
      </c>
      <c r="F37">
        <v>163.124931</v>
      </c>
      <c r="G37">
        <v>124.6875</v>
      </c>
      <c r="H37">
        <v>105.09839100000001</v>
      </c>
      <c r="I37">
        <v>3586.9150300000001</v>
      </c>
      <c r="J37" s="1">
        <v>6.6214523399999997E-21</v>
      </c>
      <c r="K37">
        <v>1.7914987</v>
      </c>
      <c r="L37">
        <v>46659.507599999997</v>
      </c>
      <c r="M37">
        <v>124.6875</v>
      </c>
      <c r="N37">
        <v>106.875</v>
      </c>
      <c r="O37">
        <v>47268.4375</v>
      </c>
      <c r="P37">
        <v>47500</v>
      </c>
      <c r="Q37">
        <v>3816.70093</v>
      </c>
      <c r="R37">
        <v>46661.299099999997</v>
      </c>
      <c r="S37" s="3">
        <f t="shared" si="1"/>
        <v>100</v>
      </c>
      <c r="T37" s="3">
        <f t="shared" si="2"/>
        <v>98.337675789473693</v>
      </c>
    </row>
    <row r="38" spans="1:20" x14ac:dyDescent="0.3">
      <c r="A38">
        <v>35</v>
      </c>
      <c r="B38" t="s">
        <v>9</v>
      </c>
      <c r="D38">
        <v>5.3</v>
      </c>
      <c r="E38">
        <v>166.501228</v>
      </c>
      <c r="F38">
        <v>163.22699499999999</v>
      </c>
      <c r="G38">
        <v>124.6875</v>
      </c>
      <c r="H38">
        <v>105.454138</v>
      </c>
      <c r="I38">
        <v>3781.5216399999999</v>
      </c>
      <c r="J38" s="1">
        <v>7.6583374500000004E-25</v>
      </c>
      <c r="K38">
        <v>1.4357516699999999</v>
      </c>
      <c r="L38">
        <v>46464.900999999998</v>
      </c>
      <c r="M38">
        <v>124.6875</v>
      </c>
      <c r="N38">
        <v>106.875</v>
      </c>
      <c r="O38">
        <v>47268.4375</v>
      </c>
      <c r="P38">
        <v>47500</v>
      </c>
      <c r="Q38">
        <v>4011.66327</v>
      </c>
      <c r="R38">
        <v>46466.3367</v>
      </c>
      <c r="S38" s="3">
        <f t="shared" si="1"/>
        <v>100</v>
      </c>
      <c r="T38" s="3">
        <f t="shared" si="2"/>
        <v>98.670538479532169</v>
      </c>
    </row>
    <row r="39" spans="1:20" x14ac:dyDescent="0.3">
      <c r="A39">
        <v>36</v>
      </c>
      <c r="B39" t="s">
        <v>9</v>
      </c>
      <c r="D39">
        <v>5.4</v>
      </c>
      <c r="E39">
        <v>166.50290000000001</v>
      </c>
      <c r="F39">
        <v>163.319759</v>
      </c>
      <c r="G39">
        <v>124.6875</v>
      </c>
      <c r="H39">
        <v>105.738522</v>
      </c>
      <c r="I39">
        <v>3976.28575</v>
      </c>
      <c r="J39" s="1">
        <v>2.9140484200000002E-21</v>
      </c>
      <c r="K39">
        <v>1.1513675999999999</v>
      </c>
      <c r="L39">
        <v>46270.136899999998</v>
      </c>
      <c r="M39">
        <v>124.6875</v>
      </c>
      <c r="N39">
        <v>106.875</v>
      </c>
      <c r="O39">
        <v>47268.4375</v>
      </c>
      <c r="P39">
        <v>47500</v>
      </c>
      <c r="Q39">
        <v>4206.7117799999996</v>
      </c>
      <c r="R39">
        <v>46271.288200000003</v>
      </c>
      <c r="S39" s="3">
        <f t="shared" si="1"/>
        <v>100</v>
      </c>
      <c r="T39" s="3">
        <f t="shared" si="2"/>
        <v>98.936628771929833</v>
      </c>
    </row>
    <row r="40" spans="1:20" x14ac:dyDescent="0.3">
      <c r="A40">
        <v>37</v>
      </c>
      <c r="B40" t="s">
        <v>9</v>
      </c>
      <c r="D40">
        <v>5.5</v>
      </c>
      <c r="E40">
        <v>166.504242</v>
      </c>
      <c r="F40">
        <v>163.40437</v>
      </c>
      <c r="G40">
        <v>124.6875</v>
      </c>
      <c r="H40">
        <v>105.965763</v>
      </c>
      <c r="I40">
        <v>4171.1824699999997</v>
      </c>
      <c r="J40" s="1">
        <v>9.3054238600000003E-23</v>
      </c>
      <c r="K40">
        <v>0.92412724599999996</v>
      </c>
      <c r="L40">
        <v>46075.240100000003</v>
      </c>
      <c r="M40">
        <v>124.6875</v>
      </c>
      <c r="N40">
        <v>106.875</v>
      </c>
      <c r="O40">
        <v>47268.4375</v>
      </c>
      <c r="P40">
        <v>47500</v>
      </c>
      <c r="Q40">
        <v>4401.8357400000004</v>
      </c>
      <c r="R40">
        <v>46076.164299999997</v>
      </c>
      <c r="S40" s="3">
        <f t="shared" si="1"/>
        <v>100</v>
      </c>
      <c r="T40" s="3">
        <f t="shared" si="2"/>
        <v>99.149251929824544</v>
      </c>
    </row>
    <row r="41" spans="1:20" x14ac:dyDescent="0.3">
      <c r="A41">
        <v>38</v>
      </c>
      <c r="B41" t="s">
        <v>9</v>
      </c>
      <c r="D41">
        <v>5.6</v>
      </c>
      <c r="E41">
        <v>166.50531899999999</v>
      </c>
      <c r="F41">
        <v>163.48180099999999</v>
      </c>
      <c r="G41">
        <v>124.6875</v>
      </c>
      <c r="H41">
        <v>106.14734300000001</v>
      </c>
      <c r="I41">
        <v>4366.1912000000002</v>
      </c>
      <c r="J41" s="1">
        <v>7.0180850700000002E-22</v>
      </c>
      <c r="K41">
        <v>0.74254740299999999</v>
      </c>
      <c r="L41">
        <v>45880.231399999997</v>
      </c>
      <c r="M41">
        <v>124.6875</v>
      </c>
      <c r="N41">
        <v>106.875</v>
      </c>
      <c r="O41">
        <v>47268.4375</v>
      </c>
      <c r="P41">
        <v>47500</v>
      </c>
      <c r="Q41">
        <v>4597.0260399999997</v>
      </c>
      <c r="R41">
        <v>45880.974000000002</v>
      </c>
      <c r="S41" s="3">
        <f t="shared" si="1"/>
        <v>100</v>
      </c>
      <c r="T41" s="3">
        <f t="shared" si="2"/>
        <v>99.31915134502924</v>
      </c>
    </row>
    <row r="42" spans="1:20" x14ac:dyDescent="0.3">
      <c r="A42">
        <v>39</v>
      </c>
      <c r="B42" t="s">
        <v>9</v>
      </c>
      <c r="D42">
        <v>5.7</v>
      </c>
      <c r="E42">
        <v>166.50618299999999</v>
      </c>
      <c r="F42">
        <v>163.55288200000001</v>
      </c>
      <c r="G42">
        <v>124.6875</v>
      </c>
      <c r="H42">
        <v>106.292489</v>
      </c>
      <c r="I42">
        <v>4561.2949099999996</v>
      </c>
      <c r="J42" s="1">
        <v>6.9239427900000001E-22</v>
      </c>
      <c r="K42">
        <v>0.59740109600000002</v>
      </c>
      <c r="L42">
        <v>45685.127699999997</v>
      </c>
      <c r="M42">
        <v>124.6875</v>
      </c>
      <c r="N42">
        <v>106.875</v>
      </c>
      <c r="O42">
        <v>47268.4375</v>
      </c>
      <c r="P42">
        <v>47500</v>
      </c>
      <c r="Q42">
        <v>4792.2749000000003</v>
      </c>
      <c r="R42">
        <v>45685.725100000003</v>
      </c>
      <c r="S42" s="3">
        <f t="shared" si="1"/>
        <v>100</v>
      </c>
      <c r="T42" s="3">
        <f t="shared" si="2"/>
        <v>99.454960467836258</v>
      </c>
    </row>
    <row r="43" spans="1:20" x14ac:dyDescent="0.3">
      <c r="A43">
        <v>40</v>
      </c>
      <c r="B43" t="s">
        <v>9</v>
      </c>
      <c r="D43">
        <v>5.8</v>
      </c>
      <c r="E43">
        <v>166.50687600000001</v>
      </c>
      <c r="F43">
        <v>163.61832699999999</v>
      </c>
      <c r="G43">
        <v>124.6875</v>
      </c>
      <c r="H43">
        <v>106.40858799999999</v>
      </c>
      <c r="I43">
        <v>4756.4795400000003</v>
      </c>
      <c r="J43" s="1">
        <v>6.89918734E-25</v>
      </c>
      <c r="K43">
        <v>0.48130224300000002</v>
      </c>
      <c r="L43">
        <v>45489.943099999997</v>
      </c>
      <c r="M43">
        <v>124.6875</v>
      </c>
      <c r="N43">
        <v>106.875</v>
      </c>
      <c r="O43">
        <v>47268.4375</v>
      </c>
      <c r="P43">
        <v>47500</v>
      </c>
      <c r="Q43">
        <v>4987.5756300000003</v>
      </c>
      <c r="R43">
        <v>45490.424400000004</v>
      </c>
      <c r="S43" s="3">
        <f t="shared" si="1"/>
        <v>100</v>
      </c>
      <c r="T43" s="3">
        <f t="shared" si="2"/>
        <v>99.563591111111108</v>
      </c>
    </row>
    <row r="44" spans="1:20" x14ac:dyDescent="0.3">
      <c r="A44">
        <v>41</v>
      </c>
      <c r="B44" t="s">
        <v>9</v>
      </c>
      <c r="D44">
        <v>5.9</v>
      </c>
      <c r="E44">
        <v>166.50743399999999</v>
      </c>
      <c r="F44">
        <v>163.67874900000001</v>
      </c>
      <c r="G44">
        <v>124.6875</v>
      </c>
      <c r="H44">
        <v>106.501535</v>
      </c>
      <c r="I44">
        <v>4951.7334799999999</v>
      </c>
      <c r="J44" s="1">
        <v>8.9859596600000002E-24</v>
      </c>
      <c r="K44">
        <v>0.38835462500000001</v>
      </c>
      <c r="L44">
        <v>45294.689100000003</v>
      </c>
      <c r="M44">
        <v>124.6875</v>
      </c>
      <c r="N44">
        <v>106.875</v>
      </c>
      <c r="O44">
        <v>47268.4375</v>
      </c>
      <c r="P44">
        <v>47500</v>
      </c>
      <c r="Q44">
        <v>5182.9225200000001</v>
      </c>
      <c r="R44">
        <v>45295.077499999999</v>
      </c>
      <c r="S44" s="3">
        <f t="shared" si="1"/>
        <v>100</v>
      </c>
      <c r="T44" s="3">
        <f t="shared" si="2"/>
        <v>99.650559064327496</v>
      </c>
    </row>
    <row r="45" spans="1:20" x14ac:dyDescent="0.3">
      <c r="A45">
        <v>42</v>
      </c>
      <c r="B45" t="s">
        <v>9</v>
      </c>
      <c r="D45">
        <v>6</v>
      </c>
      <c r="E45">
        <v>166.50788299999999</v>
      </c>
      <c r="F45">
        <v>163.73468199999999</v>
      </c>
      <c r="G45">
        <v>124.6875</v>
      </c>
      <c r="H45">
        <v>106.57603</v>
      </c>
      <c r="I45">
        <v>5147.04709</v>
      </c>
      <c r="J45" s="1">
        <v>8.9531456199999995E-30</v>
      </c>
      <c r="K45">
        <v>0.31386035899999998</v>
      </c>
      <c r="L45">
        <v>45099.375500000002</v>
      </c>
      <c r="M45">
        <v>124.6875</v>
      </c>
      <c r="N45">
        <v>106.875</v>
      </c>
      <c r="O45">
        <v>47268.4375</v>
      </c>
      <c r="P45">
        <v>47500</v>
      </c>
      <c r="Q45">
        <v>5378.3106200000002</v>
      </c>
      <c r="R45">
        <v>45099.689400000003</v>
      </c>
      <c r="S45" s="3">
        <f t="shared" si="1"/>
        <v>100</v>
      </c>
      <c r="T45" s="3">
        <f t="shared" si="2"/>
        <v>99.720261988304102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3F759-BB53-4D61-A941-6E8D1C8E811B}">
  <dimension ref="A3:T45"/>
  <sheetViews>
    <sheetView workbookViewId="0">
      <selection activeCell="D6" sqref="D6"/>
    </sheetView>
  </sheetViews>
  <sheetFormatPr defaultRowHeight="14.4" x14ac:dyDescent="0.3"/>
  <cols>
    <col min="1" max="1" width="9.6640625" bestFit="1" customWidth="1"/>
    <col min="2" max="2" width="6.44140625" bestFit="1" customWidth="1"/>
    <col min="3" max="3" width="11.33203125" bestFit="1" customWidth="1"/>
    <col min="4" max="12" width="11" bestFit="1" customWidth="1"/>
    <col min="13" max="13" width="11.33203125" customWidth="1"/>
    <col min="14" max="15" width="11" bestFit="1" customWidth="1"/>
    <col min="19" max="19" width="12" bestFit="1" customWidth="1"/>
  </cols>
  <sheetData>
    <row r="3" spans="1:20" ht="100.8" x14ac:dyDescent="0.3">
      <c r="A3" t="s">
        <v>0</v>
      </c>
      <c r="B3" t="s">
        <v>1</v>
      </c>
      <c r="C3" t="s">
        <v>2</v>
      </c>
      <c r="D3" s="2" t="s">
        <v>3</v>
      </c>
      <c r="E3" s="2" t="s">
        <v>4</v>
      </c>
      <c r="F3" s="2" t="s">
        <v>5</v>
      </c>
      <c r="G3" s="2" t="s">
        <v>10</v>
      </c>
      <c r="H3" s="2" t="s">
        <v>11</v>
      </c>
      <c r="I3" s="2" t="s">
        <v>15</v>
      </c>
      <c r="J3" s="2" t="s">
        <v>12</v>
      </c>
      <c r="K3" s="2" t="s">
        <v>13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6</v>
      </c>
      <c r="Q3" s="2" t="s">
        <v>7</v>
      </c>
      <c r="R3" s="2" t="s">
        <v>8</v>
      </c>
      <c r="S3" s="2" t="s">
        <v>14</v>
      </c>
      <c r="T3" s="2" t="s">
        <v>20</v>
      </c>
    </row>
    <row r="4" spans="1:20" x14ac:dyDescent="0.3">
      <c r="A4">
        <v>1</v>
      </c>
      <c r="B4" t="s">
        <v>62</v>
      </c>
      <c r="D4">
        <v>0.5</v>
      </c>
      <c r="E4">
        <v>134.688771</v>
      </c>
      <c r="F4">
        <v>225.536824</v>
      </c>
      <c r="G4" s="1">
        <v>1.04845063E-36</v>
      </c>
      <c r="H4" s="1">
        <v>0.56883072300000004</v>
      </c>
      <c r="I4" s="1">
        <v>5.5419864500000004E-37</v>
      </c>
      <c r="J4">
        <v>230.41327899999999</v>
      </c>
      <c r="K4">
        <v>250.34313900000001</v>
      </c>
      <c r="L4">
        <v>55493.570399999997</v>
      </c>
      <c r="M4">
        <v>137.8125</v>
      </c>
      <c r="N4">
        <v>118.125</v>
      </c>
      <c r="O4">
        <v>52244.0625</v>
      </c>
      <c r="P4">
        <v>52500</v>
      </c>
      <c r="Q4">
        <v>0.56883072300000004</v>
      </c>
      <c r="R4">
        <v>55974.326800000003</v>
      </c>
      <c r="S4" s="3">
        <f>100*G4/M4</f>
        <v>7.6078050249433101E-37</v>
      </c>
      <c r="T4" s="3">
        <f>100*H4/N4</f>
        <v>0.48154981841269845</v>
      </c>
    </row>
    <row r="5" spans="1:20" x14ac:dyDescent="0.3">
      <c r="A5">
        <v>2</v>
      </c>
      <c r="B5" t="s">
        <v>9</v>
      </c>
      <c r="D5">
        <v>2</v>
      </c>
      <c r="E5">
        <v>154.19243299999999</v>
      </c>
      <c r="F5">
        <v>60.063996899999999</v>
      </c>
      <c r="G5">
        <v>19.2804632</v>
      </c>
      <c r="H5" s="1">
        <v>2.9726890600000001E-4</v>
      </c>
      <c r="I5">
        <v>0.58743028500000005</v>
      </c>
      <c r="J5" s="1">
        <v>118.53203600000001</v>
      </c>
      <c r="K5">
        <v>118.139593</v>
      </c>
      <c r="L5">
        <v>55221.460200000001</v>
      </c>
      <c r="M5">
        <v>137.8125</v>
      </c>
      <c r="N5">
        <v>118.125</v>
      </c>
      <c r="O5">
        <v>52244.0625</v>
      </c>
      <c r="P5">
        <v>52500</v>
      </c>
      <c r="Q5">
        <v>19.868190800000001</v>
      </c>
      <c r="R5">
        <v>55458.131800000003</v>
      </c>
      <c r="S5" s="3">
        <f t="shared" ref="S5:T20" si="0">100*G5/M5</f>
        <v>13.990358784580499</v>
      </c>
      <c r="T5" s="3">
        <f t="shared" si="0"/>
        <v>2.516562167195767E-4</v>
      </c>
    </row>
    <row r="6" spans="1:20" x14ac:dyDescent="0.3">
      <c r="A6">
        <v>3</v>
      </c>
      <c r="B6" t="s">
        <v>9</v>
      </c>
      <c r="D6">
        <v>2.1</v>
      </c>
      <c r="E6">
        <v>155.74164999999999</v>
      </c>
      <c r="F6">
        <v>60.104537999999998</v>
      </c>
      <c r="G6">
        <v>32.971002200000001</v>
      </c>
      <c r="H6" s="1">
        <v>5.2069474499999999E-4</v>
      </c>
      <c r="I6">
        <v>1.0068974500000001</v>
      </c>
      <c r="J6" s="1">
        <v>104.841499</v>
      </c>
      <c r="K6">
        <v>118.139369</v>
      </c>
      <c r="L6">
        <v>55221.040699999998</v>
      </c>
      <c r="M6">
        <v>137.8125</v>
      </c>
      <c r="N6">
        <v>118.125</v>
      </c>
      <c r="O6">
        <v>52244.0625</v>
      </c>
      <c r="P6">
        <v>52500</v>
      </c>
      <c r="Q6">
        <v>33.978420300000003</v>
      </c>
      <c r="R6">
        <v>55444.0216</v>
      </c>
      <c r="S6" s="3">
        <f t="shared" si="0"/>
        <v>23.924536743764175</v>
      </c>
      <c r="T6" s="3">
        <f t="shared" si="0"/>
        <v>4.4079978412698412E-4</v>
      </c>
    </row>
    <row r="7" spans="1:20" x14ac:dyDescent="0.3">
      <c r="A7">
        <v>4</v>
      </c>
      <c r="B7" t="s">
        <v>9</v>
      </c>
      <c r="D7">
        <v>2.2000000000000002</v>
      </c>
      <c r="E7">
        <v>157.287328</v>
      </c>
      <c r="F7">
        <v>60.148628600000002</v>
      </c>
      <c r="G7">
        <v>47.218313999999999</v>
      </c>
      <c r="H7" s="1">
        <v>7.6701292399999996E-4</v>
      </c>
      <c r="I7">
        <v>1.4455799300000001</v>
      </c>
      <c r="J7" s="1">
        <v>90.5941866</v>
      </c>
      <c r="K7">
        <v>118.139123</v>
      </c>
      <c r="L7">
        <v>55220.601999999999</v>
      </c>
      <c r="M7">
        <v>137.8125</v>
      </c>
      <c r="N7">
        <v>118.125</v>
      </c>
      <c r="O7">
        <v>52244.0625</v>
      </c>
      <c r="P7">
        <v>52500</v>
      </c>
      <c r="Q7">
        <v>48.664661000000002</v>
      </c>
      <c r="R7">
        <v>55429.335299999999</v>
      </c>
      <c r="S7" s="3">
        <f t="shared" si="0"/>
        <v>34.262722176870746</v>
      </c>
      <c r="T7" s="3">
        <f t="shared" si="0"/>
        <v>6.4932311026455025E-4</v>
      </c>
    </row>
    <row r="8" spans="1:20" x14ac:dyDescent="0.3">
      <c r="A8">
        <v>5</v>
      </c>
      <c r="B8" t="s">
        <v>9</v>
      </c>
      <c r="D8">
        <v>2.2999999999999998</v>
      </c>
      <c r="E8">
        <v>158.829508</v>
      </c>
      <c r="F8">
        <v>60.1952426</v>
      </c>
      <c r="G8">
        <v>62.017223999999999</v>
      </c>
      <c r="H8" s="1">
        <v>1.04109276E-3</v>
      </c>
      <c r="I8">
        <v>1.90360022</v>
      </c>
      <c r="J8" s="1">
        <v>75.795276099999995</v>
      </c>
      <c r="K8">
        <v>118.13884899999999</v>
      </c>
      <c r="L8">
        <v>55220.144</v>
      </c>
      <c r="M8">
        <v>137.8125</v>
      </c>
      <c r="N8">
        <v>118.125</v>
      </c>
      <c r="O8">
        <v>52244.0625</v>
      </c>
      <c r="P8">
        <v>52500</v>
      </c>
      <c r="Q8">
        <v>63.9218653</v>
      </c>
      <c r="R8">
        <v>55414.078099999999</v>
      </c>
      <c r="S8" s="3">
        <f t="shared" si="0"/>
        <v>45.001160272108841</v>
      </c>
      <c r="T8" s="3">
        <f t="shared" si="0"/>
        <v>8.8134836825396823E-4</v>
      </c>
    </row>
    <row r="9" spans="1:20" x14ac:dyDescent="0.3">
      <c r="A9">
        <v>6</v>
      </c>
      <c r="B9" t="s">
        <v>9</v>
      </c>
      <c r="D9">
        <v>2.4</v>
      </c>
      <c r="E9">
        <v>160.36881299999999</v>
      </c>
      <c r="F9">
        <v>60.244799999999998</v>
      </c>
      <c r="G9">
        <v>77.3690268</v>
      </c>
      <c r="H9">
        <v>1.3492633700000001E-3</v>
      </c>
      <c r="I9">
        <v>2.3812762099999998</v>
      </c>
      <c r="J9" s="1">
        <v>60.443473300000001</v>
      </c>
      <c r="K9">
        <v>118.138541</v>
      </c>
      <c r="L9">
        <v>55219.666299999997</v>
      </c>
      <c r="M9">
        <v>137.8125</v>
      </c>
      <c r="N9">
        <v>118.125</v>
      </c>
      <c r="O9">
        <v>52244.0625</v>
      </c>
      <c r="P9">
        <v>52500</v>
      </c>
      <c r="Q9">
        <v>79.751652300000003</v>
      </c>
      <c r="R9">
        <v>55398.248299999999</v>
      </c>
      <c r="S9" s="3">
        <f t="shared" si="0"/>
        <v>56.140790421768706</v>
      </c>
      <c r="T9" s="3">
        <f t="shared" si="0"/>
        <v>1.1422335407407409E-3</v>
      </c>
    </row>
    <row r="10" spans="1:20" x14ac:dyDescent="0.3">
      <c r="A10">
        <v>7</v>
      </c>
      <c r="B10" t="s">
        <v>9</v>
      </c>
      <c r="D10">
        <v>2.5</v>
      </c>
      <c r="E10">
        <v>161.90493599999999</v>
      </c>
      <c r="F10">
        <v>60.296878900000003</v>
      </c>
      <c r="G10">
        <v>93.291987000000006</v>
      </c>
      <c r="H10">
        <v>1.69989932E-3</v>
      </c>
      <c r="I10">
        <v>2.8794805600000002</v>
      </c>
      <c r="J10" s="1">
        <v>44.520513200000003</v>
      </c>
      <c r="K10">
        <v>118.13818999999999</v>
      </c>
      <c r="L10">
        <v>55219.168100000003</v>
      </c>
      <c r="M10">
        <v>137.8125</v>
      </c>
      <c r="N10">
        <v>118.125</v>
      </c>
      <c r="O10">
        <v>52244.0625</v>
      </c>
      <c r="P10">
        <v>52500</v>
      </c>
      <c r="Q10">
        <v>96.173167500000005</v>
      </c>
      <c r="R10">
        <v>55381.826800000003</v>
      </c>
      <c r="S10" s="3">
        <f t="shared" si="0"/>
        <v>67.694865850340136</v>
      </c>
      <c r="T10" s="3">
        <f t="shared" si="0"/>
        <v>1.4390682074074076E-3</v>
      </c>
    </row>
    <row r="11" spans="1:20" x14ac:dyDescent="0.3">
      <c r="A11">
        <v>8</v>
      </c>
      <c r="B11" t="s">
        <v>9</v>
      </c>
      <c r="D11">
        <v>2.6</v>
      </c>
      <c r="E11">
        <v>163.43766600000001</v>
      </c>
      <c r="F11">
        <v>60.351397300000002</v>
      </c>
      <c r="G11">
        <v>109.79747</v>
      </c>
      <c r="H11">
        <v>2.1033822499999999E-3</v>
      </c>
      <c r="I11">
        <v>3.3988834400000001</v>
      </c>
      <c r="J11" s="1">
        <v>28.015030299999999</v>
      </c>
      <c r="K11">
        <v>118.137787</v>
      </c>
      <c r="L11">
        <v>55218.648699999998</v>
      </c>
      <c r="M11">
        <v>137.8125</v>
      </c>
      <c r="N11">
        <v>118.125</v>
      </c>
      <c r="O11">
        <v>52244.0625</v>
      </c>
      <c r="P11">
        <v>52500</v>
      </c>
      <c r="Q11">
        <v>113.198457</v>
      </c>
      <c r="R11">
        <v>55364.801500000001</v>
      </c>
      <c r="S11" s="3">
        <f t="shared" si="0"/>
        <v>79.671633560090712</v>
      </c>
      <c r="T11" s="3">
        <f t="shared" si="0"/>
        <v>1.780641058201058E-3</v>
      </c>
    </row>
    <row r="12" spans="1:20" x14ac:dyDescent="0.3">
      <c r="A12">
        <v>9</v>
      </c>
      <c r="B12" t="s">
        <v>9</v>
      </c>
      <c r="D12">
        <v>2.7</v>
      </c>
      <c r="E12">
        <v>164.967197</v>
      </c>
      <c r="F12">
        <v>60.409010799999997</v>
      </c>
      <c r="G12">
        <v>126.896517</v>
      </c>
      <c r="H12">
        <v>2.5726826500000002E-3</v>
      </c>
      <c r="I12">
        <v>3.9401977800000001</v>
      </c>
      <c r="J12" s="1">
        <v>10.9159834</v>
      </c>
      <c r="K12">
        <v>118.137317</v>
      </c>
      <c r="L12">
        <v>55218.107400000001</v>
      </c>
      <c r="M12">
        <v>137.8125</v>
      </c>
      <c r="N12">
        <v>118.125</v>
      </c>
      <c r="O12">
        <v>52244.0625</v>
      </c>
      <c r="P12">
        <v>52500</v>
      </c>
      <c r="Q12">
        <v>130.83928700000001</v>
      </c>
      <c r="R12">
        <v>55347.1607</v>
      </c>
      <c r="S12" s="3">
        <f t="shared" si="0"/>
        <v>92.079105306122457</v>
      </c>
      <c r="T12" s="3">
        <f t="shared" si="0"/>
        <v>2.1779324021164023E-3</v>
      </c>
    </row>
    <row r="13" spans="1:20" x14ac:dyDescent="0.3">
      <c r="A13">
        <v>10</v>
      </c>
      <c r="B13" t="s">
        <v>9</v>
      </c>
      <c r="D13">
        <v>2.8</v>
      </c>
      <c r="E13">
        <v>165.91718800000001</v>
      </c>
      <c r="F13">
        <v>60.937230300000003</v>
      </c>
      <c r="G13">
        <v>137.812501</v>
      </c>
      <c r="H13">
        <v>0.46914308599999999</v>
      </c>
      <c r="I13">
        <v>6.2544198</v>
      </c>
      <c r="J13" s="1">
        <v>4.3367755799999997E-17</v>
      </c>
      <c r="K13">
        <v>117.67074700000001</v>
      </c>
      <c r="L13">
        <v>55215.7932</v>
      </c>
      <c r="M13">
        <v>137.8125</v>
      </c>
      <c r="N13">
        <v>118.125</v>
      </c>
      <c r="O13">
        <v>52244.0625</v>
      </c>
      <c r="P13">
        <v>52500</v>
      </c>
      <c r="Q13">
        <v>144.53606400000001</v>
      </c>
      <c r="R13">
        <v>55333.463900000002</v>
      </c>
      <c r="S13" s="3">
        <f t="shared" si="0"/>
        <v>100.00000072562358</v>
      </c>
      <c r="T13" s="3">
        <f t="shared" si="0"/>
        <v>0.39715816804232801</v>
      </c>
    </row>
    <row r="14" spans="1:20" x14ac:dyDescent="0.3">
      <c r="A14">
        <v>11</v>
      </c>
      <c r="B14" t="s">
        <v>9</v>
      </c>
      <c r="D14">
        <v>2.9</v>
      </c>
      <c r="E14">
        <v>165.93538100000001</v>
      </c>
      <c r="F14">
        <v>61.853975300000002</v>
      </c>
      <c r="G14">
        <v>137.81249800000001</v>
      </c>
      <c r="H14">
        <v>4.0848669400000004</v>
      </c>
      <c r="I14">
        <v>8.4663473899999993</v>
      </c>
      <c r="J14" s="1">
        <v>2.2942023299999999E-17</v>
      </c>
      <c r="K14">
        <v>114.05502300000001</v>
      </c>
      <c r="L14">
        <v>55213.581299999998</v>
      </c>
      <c r="M14">
        <v>137.8125</v>
      </c>
      <c r="N14">
        <v>118.125</v>
      </c>
      <c r="O14">
        <v>52244.0625</v>
      </c>
      <c r="P14">
        <v>52500</v>
      </c>
      <c r="Q14">
        <v>150.36371199999999</v>
      </c>
      <c r="R14">
        <v>55327.636299999998</v>
      </c>
      <c r="S14" s="3">
        <f t="shared" si="0"/>
        <v>99.999998548752842</v>
      </c>
      <c r="T14" s="3">
        <f t="shared" si="0"/>
        <v>3.4580884148148154</v>
      </c>
    </row>
    <row r="15" spans="1:20" x14ac:dyDescent="0.3">
      <c r="A15">
        <v>12</v>
      </c>
      <c r="B15" t="s">
        <v>9</v>
      </c>
      <c r="D15">
        <v>3</v>
      </c>
      <c r="E15">
        <v>165.96419299999999</v>
      </c>
      <c r="F15">
        <v>63.3521243</v>
      </c>
      <c r="G15">
        <v>137.812489</v>
      </c>
      <c r="H15">
        <v>9.8072322799999991</v>
      </c>
      <c r="I15">
        <v>10.2588214</v>
      </c>
      <c r="J15" s="1">
        <v>9.9262517099999998E-18</v>
      </c>
      <c r="K15">
        <v>108.33265900000001</v>
      </c>
      <c r="L15">
        <v>55211.788800000002</v>
      </c>
      <c r="M15">
        <v>137.8125</v>
      </c>
      <c r="N15">
        <v>118.125</v>
      </c>
      <c r="O15">
        <v>52244.0625</v>
      </c>
      <c r="P15">
        <v>52500</v>
      </c>
      <c r="Q15">
        <v>157.87854200000001</v>
      </c>
      <c r="R15">
        <v>55320.121500000001</v>
      </c>
      <c r="S15" s="3">
        <f t="shared" si="0"/>
        <v>99.999992018140588</v>
      </c>
      <c r="T15" s="3">
        <f t="shared" si="0"/>
        <v>8.3024188613756618</v>
      </c>
    </row>
    <row r="16" spans="1:20" x14ac:dyDescent="0.3">
      <c r="A16">
        <v>13</v>
      </c>
      <c r="B16" t="s">
        <v>9</v>
      </c>
      <c r="D16">
        <v>3.1</v>
      </c>
      <c r="E16">
        <v>165.996375</v>
      </c>
      <c r="F16">
        <v>66.460252600000004</v>
      </c>
      <c r="G16">
        <v>137.81249700000001</v>
      </c>
      <c r="H16">
        <v>16.1995398</v>
      </c>
      <c r="I16">
        <v>12.783780999999999</v>
      </c>
      <c r="J16" s="1">
        <v>4.7957976300000001E-18</v>
      </c>
      <c r="K16">
        <v>101.94035</v>
      </c>
      <c r="L16">
        <v>55209.263800000001</v>
      </c>
      <c r="M16">
        <v>137.8125</v>
      </c>
      <c r="N16">
        <v>118.125</v>
      </c>
      <c r="O16">
        <v>52244.0625</v>
      </c>
      <c r="P16">
        <v>52500</v>
      </c>
      <c r="Q16">
        <v>166.795818</v>
      </c>
      <c r="R16">
        <v>55311.2042</v>
      </c>
      <c r="S16" s="3">
        <f t="shared" si="0"/>
        <v>99.999997823129249</v>
      </c>
      <c r="T16" s="3">
        <f t="shared" si="0"/>
        <v>13.713896126984126</v>
      </c>
    </row>
    <row r="17" spans="1:20" x14ac:dyDescent="0.3">
      <c r="A17">
        <v>14</v>
      </c>
      <c r="B17" t="s">
        <v>9</v>
      </c>
      <c r="D17">
        <v>3.2</v>
      </c>
      <c r="E17">
        <v>166.02940000000001</v>
      </c>
      <c r="F17">
        <v>72.684186400000002</v>
      </c>
      <c r="G17">
        <v>137.81244899999999</v>
      </c>
      <c r="H17">
        <v>22.761734499999999</v>
      </c>
      <c r="I17">
        <v>16.913230299999999</v>
      </c>
      <c r="J17" s="1">
        <v>2.48784479E-18</v>
      </c>
      <c r="K17">
        <v>95.378159600000004</v>
      </c>
      <c r="L17">
        <v>55205.134400000003</v>
      </c>
      <c r="M17">
        <v>137.8125</v>
      </c>
      <c r="N17">
        <v>118.125</v>
      </c>
      <c r="O17">
        <v>52244.0625</v>
      </c>
      <c r="P17">
        <v>52500</v>
      </c>
      <c r="Q17">
        <v>177.487414</v>
      </c>
      <c r="R17">
        <v>55300.512600000002</v>
      </c>
      <c r="S17" s="3">
        <f t="shared" si="0"/>
        <v>99.999962993197258</v>
      </c>
      <c r="T17" s="3">
        <f t="shared" si="0"/>
        <v>19.269193227513227</v>
      </c>
    </row>
    <row r="18" spans="1:20" x14ac:dyDescent="0.3">
      <c r="A18">
        <v>15</v>
      </c>
      <c r="B18" t="s">
        <v>9</v>
      </c>
      <c r="D18">
        <v>3.3</v>
      </c>
      <c r="E18">
        <v>166.06249800000001</v>
      </c>
      <c r="F18">
        <v>83.691552299999998</v>
      </c>
      <c r="G18">
        <v>137.81245100000001</v>
      </c>
      <c r="H18">
        <v>29.343015000000001</v>
      </c>
      <c r="I18">
        <v>24.4880344</v>
      </c>
      <c r="J18" s="1">
        <v>1.36289218E-18</v>
      </c>
      <c r="K18">
        <v>88.796872199999996</v>
      </c>
      <c r="L18">
        <v>55197.559600000001</v>
      </c>
      <c r="M18">
        <v>137.8125</v>
      </c>
      <c r="N18">
        <v>118.125</v>
      </c>
      <c r="O18">
        <v>52244.0625</v>
      </c>
      <c r="P18">
        <v>52500</v>
      </c>
      <c r="Q18">
        <v>191.64350099999999</v>
      </c>
      <c r="R18">
        <v>55286.356500000002</v>
      </c>
      <c r="S18" s="3">
        <f t="shared" si="0"/>
        <v>99.999964444444444</v>
      </c>
      <c r="T18" s="3">
        <f t="shared" si="0"/>
        <v>24.840647619047619</v>
      </c>
    </row>
    <row r="19" spans="1:20" x14ac:dyDescent="0.3">
      <c r="A19">
        <v>16</v>
      </c>
      <c r="B19" t="s">
        <v>9</v>
      </c>
      <c r="D19">
        <v>3.4</v>
      </c>
      <c r="E19">
        <v>166.09542500000001</v>
      </c>
      <c r="F19">
        <v>99.852890099999996</v>
      </c>
      <c r="G19">
        <v>137.81250199999999</v>
      </c>
      <c r="H19">
        <v>35.901183799999998</v>
      </c>
      <c r="I19">
        <v>40.169474899999997</v>
      </c>
      <c r="J19" s="1">
        <v>7.6174235600000004E-19</v>
      </c>
      <c r="K19">
        <v>82.238704100000007</v>
      </c>
      <c r="L19">
        <v>55181.878100000002</v>
      </c>
      <c r="M19">
        <v>137.8125</v>
      </c>
      <c r="N19">
        <v>118.125</v>
      </c>
      <c r="O19">
        <v>52244.0625</v>
      </c>
      <c r="P19">
        <v>52500</v>
      </c>
      <c r="Q19">
        <v>213.883161</v>
      </c>
      <c r="R19">
        <v>55264.116800000003</v>
      </c>
      <c r="S19" s="3">
        <f t="shared" si="0"/>
        <v>100.00000145124716</v>
      </c>
      <c r="T19" s="3">
        <f t="shared" si="0"/>
        <v>30.392536550264548</v>
      </c>
    </row>
    <row r="20" spans="1:20" x14ac:dyDescent="0.3">
      <c r="A20">
        <v>17</v>
      </c>
      <c r="B20" t="s">
        <v>9</v>
      </c>
      <c r="D20">
        <v>3.5</v>
      </c>
      <c r="E20">
        <v>166.12824699999999</v>
      </c>
      <c r="F20">
        <v>119.758368</v>
      </c>
      <c r="G20">
        <v>137.81249</v>
      </c>
      <c r="H20">
        <v>42.464495200000002</v>
      </c>
      <c r="I20">
        <v>77.498843399999998</v>
      </c>
      <c r="J20" s="1">
        <v>4.3962071199999996E-19</v>
      </c>
      <c r="K20">
        <v>75.675397099999998</v>
      </c>
      <c r="L20">
        <v>55144.548799999997</v>
      </c>
      <c r="M20">
        <v>137.8125</v>
      </c>
      <c r="N20">
        <v>118.125</v>
      </c>
      <c r="O20">
        <v>52244.0625</v>
      </c>
      <c r="P20">
        <v>52500</v>
      </c>
      <c r="Q20">
        <v>257.77582899999999</v>
      </c>
      <c r="R20">
        <v>55220.224199999997</v>
      </c>
      <c r="S20" s="3">
        <f t="shared" si="0"/>
        <v>99.999992743764167</v>
      </c>
      <c r="T20" s="3">
        <f t="shared" si="0"/>
        <v>35.948779005291009</v>
      </c>
    </row>
    <row r="21" spans="1:20" x14ac:dyDescent="0.3">
      <c r="A21">
        <v>18</v>
      </c>
      <c r="B21" t="s">
        <v>9</v>
      </c>
      <c r="D21">
        <v>3.6</v>
      </c>
      <c r="E21">
        <v>166.16133300000001</v>
      </c>
      <c r="F21">
        <v>137.61830900000001</v>
      </c>
      <c r="G21">
        <v>137.8125</v>
      </c>
      <c r="H21">
        <v>49.133378499999999</v>
      </c>
      <c r="I21">
        <v>164.079522</v>
      </c>
      <c r="J21" s="1">
        <v>2.5031010499999998E-19</v>
      </c>
      <c r="K21">
        <v>69.006511500000002</v>
      </c>
      <c r="L21">
        <v>55057.968099999998</v>
      </c>
      <c r="M21">
        <v>137.8125</v>
      </c>
      <c r="N21">
        <v>118.125</v>
      </c>
      <c r="O21">
        <v>52244.0625</v>
      </c>
      <c r="P21">
        <v>52500</v>
      </c>
      <c r="Q21">
        <v>351.02540099999999</v>
      </c>
      <c r="R21">
        <v>55126.974600000001</v>
      </c>
      <c r="S21" s="3">
        <f t="shared" ref="S21:T46" si="1">100*G21/M21</f>
        <v>100</v>
      </c>
      <c r="T21" s="3">
        <f t="shared" si="1"/>
        <v>41.594394497354493</v>
      </c>
    </row>
    <row r="22" spans="1:20" x14ac:dyDescent="0.3">
      <c r="A22">
        <v>19</v>
      </c>
      <c r="B22" t="s">
        <v>9</v>
      </c>
      <c r="D22">
        <v>3.7</v>
      </c>
      <c r="E22">
        <v>166.19454400000001</v>
      </c>
      <c r="F22">
        <v>147.822441</v>
      </c>
      <c r="G22">
        <v>137.8125</v>
      </c>
      <c r="H22">
        <v>55.866234800000001</v>
      </c>
      <c r="I22">
        <v>303.20574299999998</v>
      </c>
      <c r="J22" s="1">
        <v>1.01625733E-19</v>
      </c>
      <c r="K22">
        <v>62.273655099999999</v>
      </c>
      <c r="L22">
        <v>54918.841899999999</v>
      </c>
      <c r="M22">
        <v>137.8125</v>
      </c>
      <c r="N22">
        <v>118.125</v>
      </c>
      <c r="O22">
        <v>52244.0625</v>
      </c>
      <c r="P22">
        <v>52500</v>
      </c>
      <c r="Q22">
        <v>496.884478</v>
      </c>
      <c r="R22">
        <v>54981.1155</v>
      </c>
      <c r="S22" s="3">
        <f t="shared" si="1"/>
        <v>100</v>
      </c>
      <c r="T22" s="3">
        <f t="shared" si="1"/>
        <v>47.294167026455028</v>
      </c>
    </row>
    <row r="23" spans="1:20" x14ac:dyDescent="0.3">
      <c r="A23">
        <v>20</v>
      </c>
      <c r="B23" t="s">
        <v>9</v>
      </c>
      <c r="D23">
        <v>3.8</v>
      </c>
      <c r="E23">
        <v>166.22709399999999</v>
      </c>
      <c r="F23">
        <v>152.88754299999999</v>
      </c>
      <c r="G23">
        <v>137.8125</v>
      </c>
      <c r="H23">
        <v>62.462172899999999</v>
      </c>
      <c r="I23">
        <v>468.11501800000002</v>
      </c>
      <c r="J23" s="1">
        <v>8.5882656499999999E-20</v>
      </c>
      <c r="K23">
        <v>55.677717100000002</v>
      </c>
      <c r="L23">
        <v>54753.9326</v>
      </c>
      <c r="M23">
        <v>137.8125</v>
      </c>
      <c r="N23">
        <v>118.125</v>
      </c>
      <c r="O23">
        <v>52244.0625</v>
      </c>
      <c r="P23">
        <v>52500</v>
      </c>
      <c r="Q23">
        <v>668.38969099999997</v>
      </c>
      <c r="R23">
        <v>54809.6103</v>
      </c>
      <c r="S23" s="3">
        <f t="shared" si="1"/>
        <v>100</v>
      </c>
      <c r="T23" s="3">
        <f t="shared" si="1"/>
        <v>52.878029968253962</v>
      </c>
    </row>
    <row r="24" spans="1:20" x14ac:dyDescent="0.3">
      <c r="A24">
        <v>21</v>
      </c>
      <c r="B24" t="s">
        <v>9</v>
      </c>
      <c r="D24">
        <v>3.9</v>
      </c>
      <c r="E24">
        <v>166.25840600000001</v>
      </c>
      <c r="F24">
        <v>155.672056</v>
      </c>
      <c r="G24">
        <v>137.8125</v>
      </c>
      <c r="H24">
        <v>68.7861671</v>
      </c>
      <c r="I24">
        <v>643.43986600000005</v>
      </c>
      <c r="J24" s="1">
        <v>7.6123651199999995E-20</v>
      </c>
      <c r="K24">
        <v>49.353722900000001</v>
      </c>
      <c r="L24">
        <v>54578.6077</v>
      </c>
      <c r="M24">
        <v>137.8125</v>
      </c>
      <c r="N24">
        <v>118.125</v>
      </c>
      <c r="O24">
        <v>52244.0625</v>
      </c>
      <c r="P24">
        <v>52500</v>
      </c>
      <c r="Q24">
        <v>850.03853300000003</v>
      </c>
      <c r="R24">
        <v>54627.961499999998</v>
      </c>
      <c r="S24" s="3">
        <f t="shared" si="1"/>
        <v>100</v>
      </c>
      <c r="T24" s="3">
        <f t="shared" si="1"/>
        <v>58.231675851851854</v>
      </c>
    </row>
    <row r="25" spans="1:20" x14ac:dyDescent="0.3">
      <c r="A25">
        <v>22</v>
      </c>
      <c r="B25" t="s">
        <v>9</v>
      </c>
      <c r="D25">
        <v>4</v>
      </c>
      <c r="E25">
        <v>166.28810799999999</v>
      </c>
      <c r="F25">
        <v>157.39433099999999</v>
      </c>
      <c r="G25">
        <v>137.8125</v>
      </c>
      <c r="H25">
        <v>74.7596566</v>
      </c>
      <c r="I25">
        <v>823.69771300000002</v>
      </c>
      <c r="J25" s="1">
        <v>3.2708750299999999E-20</v>
      </c>
      <c r="K25">
        <v>43.380233400000002</v>
      </c>
      <c r="L25">
        <v>54398.349900000001</v>
      </c>
      <c r="M25">
        <v>137.8125</v>
      </c>
      <c r="N25">
        <v>118.125</v>
      </c>
      <c r="O25">
        <v>52244.0625</v>
      </c>
      <c r="P25">
        <v>52500</v>
      </c>
      <c r="Q25">
        <v>1036.2698700000001</v>
      </c>
      <c r="R25">
        <v>54441.730100000001</v>
      </c>
      <c r="S25" s="3">
        <f t="shared" si="1"/>
        <v>100</v>
      </c>
      <c r="T25" s="3">
        <f t="shared" si="1"/>
        <v>63.28859817989418</v>
      </c>
    </row>
    <row r="26" spans="1:20" x14ac:dyDescent="0.3">
      <c r="A26">
        <v>23</v>
      </c>
      <c r="B26" t="s">
        <v>9</v>
      </c>
      <c r="D26">
        <v>4.0999999999999996</v>
      </c>
      <c r="E26">
        <v>166.31591700000001</v>
      </c>
      <c r="F26">
        <v>158.559989</v>
      </c>
      <c r="G26">
        <v>137.81249600000001</v>
      </c>
      <c r="H26">
        <v>80.327844999999996</v>
      </c>
      <c r="I26">
        <v>1006.79607</v>
      </c>
      <c r="J26" s="1">
        <v>8.4418484999999997E-19</v>
      </c>
      <c r="K26">
        <v>37.812045400000002</v>
      </c>
      <c r="L26">
        <v>54215.251499999998</v>
      </c>
      <c r="M26">
        <v>137.8125</v>
      </c>
      <c r="N26">
        <v>118.125</v>
      </c>
      <c r="O26">
        <v>52244.0625</v>
      </c>
      <c r="P26">
        <v>52500</v>
      </c>
      <c r="Q26">
        <v>1224.93641</v>
      </c>
      <c r="R26">
        <v>54253.063600000001</v>
      </c>
      <c r="S26" s="3">
        <f t="shared" si="1"/>
        <v>99.99999709750567</v>
      </c>
      <c r="T26" s="3">
        <f t="shared" si="1"/>
        <v>68.002408465608468</v>
      </c>
    </row>
    <row r="27" spans="1:20" x14ac:dyDescent="0.3">
      <c r="A27">
        <v>24</v>
      </c>
      <c r="B27" t="s">
        <v>9</v>
      </c>
      <c r="D27">
        <v>4.2</v>
      </c>
      <c r="E27">
        <v>166.34161900000001</v>
      </c>
      <c r="F27">
        <v>159.403279</v>
      </c>
      <c r="G27">
        <v>137.81249800000001</v>
      </c>
      <c r="H27">
        <v>85.451464099999995</v>
      </c>
      <c r="I27">
        <v>1191.8089500000001</v>
      </c>
      <c r="J27" s="1">
        <v>5.4783961299999997E-21</v>
      </c>
      <c r="K27">
        <v>32.688426100000001</v>
      </c>
      <c r="L27">
        <v>54030.238700000002</v>
      </c>
      <c r="M27">
        <v>137.8125</v>
      </c>
      <c r="N27">
        <v>118.125</v>
      </c>
      <c r="O27">
        <v>52244.0625</v>
      </c>
      <c r="P27">
        <v>52500</v>
      </c>
      <c r="Q27">
        <v>1415.0729100000001</v>
      </c>
      <c r="R27">
        <v>54062.927100000001</v>
      </c>
      <c r="S27" s="3">
        <f t="shared" si="1"/>
        <v>99.999998548752842</v>
      </c>
      <c r="T27" s="3">
        <f t="shared" si="1"/>
        <v>72.339863788359779</v>
      </c>
    </row>
    <row r="28" spans="1:20" x14ac:dyDescent="0.3">
      <c r="A28">
        <v>25</v>
      </c>
      <c r="B28" t="s">
        <v>9</v>
      </c>
      <c r="D28">
        <v>4.3</v>
      </c>
      <c r="E28">
        <v>166.36506700000001</v>
      </c>
      <c r="F28">
        <v>160.04485600000001</v>
      </c>
      <c r="G28">
        <v>137.812499</v>
      </c>
      <c r="H28">
        <v>90.104979999999998</v>
      </c>
      <c r="I28">
        <v>1378.2764099999999</v>
      </c>
      <c r="J28" s="1">
        <v>4.1028958100000001E-19</v>
      </c>
      <c r="K28">
        <v>28.034910100000001</v>
      </c>
      <c r="L28">
        <v>53843.771200000003</v>
      </c>
      <c r="M28">
        <v>137.8125</v>
      </c>
      <c r="N28">
        <v>118.125</v>
      </c>
      <c r="O28">
        <v>52244.0625</v>
      </c>
      <c r="P28">
        <v>52500</v>
      </c>
      <c r="Q28">
        <v>1606.19389</v>
      </c>
      <c r="R28">
        <v>53871.806100000002</v>
      </c>
      <c r="S28" s="3">
        <f t="shared" si="1"/>
        <v>99.999999274376421</v>
      </c>
      <c r="T28" s="3">
        <f t="shared" si="1"/>
        <v>76.279348148148145</v>
      </c>
    </row>
    <row r="29" spans="1:20" x14ac:dyDescent="0.3">
      <c r="A29">
        <v>26</v>
      </c>
      <c r="B29" t="s">
        <v>9</v>
      </c>
      <c r="D29">
        <v>4.4000000000000004</v>
      </c>
      <c r="E29">
        <v>166.386179</v>
      </c>
      <c r="F29">
        <v>160.55228199999999</v>
      </c>
      <c r="G29">
        <v>137.812499</v>
      </c>
      <c r="H29">
        <v>94.277166300000005</v>
      </c>
      <c r="I29">
        <v>1565.9376999999999</v>
      </c>
      <c r="J29" s="1">
        <v>9.4490406500000004E-24</v>
      </c>
      <c r="K29">
        <v>23.8627237</v>
      </c>
      <c r="L29">
        <v>53656.109900000003</v>
      </c>
      <c r="M29">
        <v>137.8125</v>
      </c>
      <c r="N29">
        <v>118.125</v>
      </c>
      <c r="O29">
        <v>52244.0625</v>
      </c>
      <c r="P29">
        <v>52500</v>
      </c>
      <c r="Q29">
        <v>1798.02736</v>
      </c>
      <c r="R29">
        <v>53679.972600000001</v>
      </c>
      <c r="S29" s="3">
        <f t="shared" si="1"/>
        <v>99.999999274376421</v>
      </c>
      <c r="T29" s="3">
        <f t="shared" si="1"/>
        <v>79.81135771428572</v>
      </c>
    </row>
    <row r="30" spans="1:20" x14ac:dyDescent="0.3">
      <c r="A30">
        <v>27</v>
      </c>
      <c r="B30" t="s">
        <v>9</v>
      </c>
      <c r="D30">
        <v>4.5</v>
      </c>
      <c r="E30">
        <v>166.40495000000001</v>
      </c>
      <c r="F30">
        <v>160.96596299999999</v>
      </c>
      <c r="G30">
        <v>137.8125</v>
      </c>
      <c r="H30">
        <v>97.970848099999998</v>
      </c>
      <c r="I30">
        <v>1754.6252400000001</v>
      </c>
      <c r="J30" s="1">
        <v>1.03481254E-19</v>
      </c>
      <c r="K30">
        <v>20.169041799999999</v>
      </c>
      <c r="L30">
        <v>53467.422400000003</v>
      </c>
      <c r="M30">
        <v>137.8125</v>
      </c>
      <c r="N30">
        <v>118.125</v>
      </c>
      <c r="O30">
        <v>52244.0625</v>
      </c>
      <c r="P30">
        <v>52500</v>
      </c>
      <c r="Q30">
        <v>1990.40859</v>
      </c>
      <c r="R30">
        <v>53487.591399999998</v>
      </c>
      <c r="S30" s="3">
        <f t="shared" si="1"/>
        <v>100</v>
      </c>
      <c r="T30" s="3">
        <f t="shared" si="1"/>
        <v>82.938284105820102</v>
      </c>
    </row>
    <row r="31" spans="1:20" x14ac:dyDescent="0.3">
      <c r="A31">
        <v>28</v>
      </c>
      <c r="B31" t="s">
        <v>9</v>
      </c>
      <c r="D31">
        <v>4.5999999999999996</v>
      </c>
      <c r="E31">
        <v>166.421436</v>
      </c>
      <c r="F31">
        <v>161.31136599999999</v>
      </c>
      <c r="G31">
        <v>137.8125</v>
      </c>
      <c r="H31">
        <v>101.201684</v>
      </c>
      <c r="I31">
        <v>1944.2160100000001</v>
      </c>
      <c r="J31" s="1">
        <v>2.0174219000000001E-19</v>
      </c>
      <c r="K31">
        <v>16.9382059</v>
      </c>
      <c r="L31">
        <v>53277.831599999998</v>
      </c>
      <c r="M31">
        <v>137.8125</v>
      </c>
      <c r="N31">
        <v>118.125</v>
      </c>
      <c r="O31">
        <v>52244.0625</v>
      </c>
      <c r="P31">
        <v>52500</v>
      </c>
      <c r="Q31">
        <v>2183.2301900000002</v>
      </c>
      <c r="R31">
        <v>53294.769800000002</v>
      </c>
      <c r="S31" s="3">
        <f t="shared" si="1"/>
        <v>100</v>
      </c>
      <c r="T31" s="3">
        <f t="shared" si="1"/>
        <v>85.67338328042328</v>
      </c>
    </row>
    <row r="32" spans="1:20" x14ac:dyDescent="0.3">
      <c r="A32">
        <v>29</v>
      </c>
      <c r="B32" t="s">
        <v>9</v>
      </c>
      <c r="D32">
        <v>4.7</v>
      </c>
      <c r="E32">
        <v>166.43575200000001</v>
      </c>
      <c r="F32">
        <v>161.60524799999999</v>
      </c>
      <c r="G32">
        <v>137.8125</v>
      </c>
      <c r="H32">
        <v>103.995998</v>
      </c>
      <c r="I32">
        <v>2134.6088</v>
      </c>
      <c r="J32" s="1">
        <v>3.4153099099999998E-24</v>
      </c>
      <c r="K32">
        <v>14.143891500000001</v>
      </c>
      <c r="L32">
        <v>53087.438800000004</v>
      </c>
      <c r="M32">
        <v>137.8125</v>
      </c>
      <c r="N32">
        <v>118.125</v>
      </c>
      <c r="O32">
        <v>52244.0625</v>
      </c>
      <c r="P32">
        <v>52500</v>
      </c>
      <c r="Q32">
        <v>2376.4173000000001</v>
      </c>
      <c r="R32">
        <v>53101.582699999999</v>
      </c>
      <c r="S32" s="3">
        <f t="shared" si="1"/>
        <v>100</v>
      </c>
      <c r="T32" s="3">
        <f t="shared" si="1"/>
        <v>88.038940105820103</v>
      </c>
    </row>
    <row r="33" spans="1:20" x14ac:dyDescent="0.3">
      <c r="A33">
        <v>30</v>
      </c>
      <c r="B33" t="s">
        <v>9</v>
      </c>
      <c r="D33">
        <v>4.8</v>
      </c>
      <c r="E33">
        <v>166.44805600000001</v>
      </c>
      <c r="F33">
        <v>161.85905</v>
      </c>
      <c r="G33">
        <v>137.8125</v>
      </c>
      <c r="H33">
        <v>106.38800000000001</v>
      </c>
      <c r="I33">
        <v>2325.7138199999999</v>
      </c>
      <c r="J33" s="1">
        <v>1.0536423400000001E-21</v>
      </c>
      <c r="K33">
        <v>11.751890400000001</v>
      </c>
      <c r="L33">
        <v>52896.3338</v>
      </c>
      <c r="M33">
        <v>137.8125</v>
      </c>
      <c r="N33">
        <v>118.125</v>
      </c>
      <c r="O33">
        <v>52244.0625</v>
      </c>
      <c r="P33">
        <v>52500</v>
      </c>
      <c r="Q33">
        <v>2569.9143199999999</v>
      </c>
      <c r="R33">
        <v>52908.085700000003</v>
      </c>
      <c r="S33" s="3">
        <f t="shared" si="1"/>
        <v>100</v>
      </c>
      <c r="T33" s="3">
        <f t="shared" si="1"/>
        <v>90.063915343915355</v>
      </c>
    </row>
    <row r="34" spans="1:20" x14ac:dyDescent="0.3">
      <c r="A34">
        <v>31</v>
      </c>
      <c r="B34" t="s">
        <v>9</v>
      </c>
      <c r="D34">
        <v>4.9000000000000004</v>
      </c>
      <c r="E34">
        <v>166.45853299999999</v>
      </c>
      <c r="F34">
        <v>162.08085199999999</v>
      </c>
      <c r="G34">
        <v>137.8125</v>
      </c>
      <c r="H34">
        <v>108.41681199999999</v>
      </c>
      <c r="I34">
        <v>2517.4484499999999</v>
      </c>
      <c r="J34" s="1">
        <v>2.5645700600000001E-20</v>
      </c>
      <c r="K34">
        <v>9.7230777600000007</v>
      </c>
      <c r="L34">
        <v>52704.599199999997</v>
      </c>
      <c r="M34">
        <v>137.8125</v>
      </c>
      <c r="N34">
        <v>118.125</v>
      </c>
      <c r="O34">
        <v>52244.0625</v>
      </c>
      <c r="P34">
        <v>52500</v>
      </c>
      <c r="Q34">
        <v>2763.67776</v>
      </c>
      <c r="R34">
        <v>52714.322200000002</v>
      </c>
      <c r="S34" s="3">
        <f t="shared" si="1"/>
        <v>100</v>
      </c>
      <c r="T34" s="3">
        <f t="shared" si="1"/>
        <v>91.781428148148137</v>
      </c>
    </row>
    <row r="35" spans="1:20" x14ac:dyDescent="0.3">
      <c r="A35">
        <v>32</v>
      </c>
      <c r="B35" t="s">
        <v>9</v>
      </c>
      <c r="D35">
        <v>5</v>
      </c>
      <c r="E35">
        <v>166.46738199999999</v>
      </c>
      <c r="F35">
        <v>162.27653699999999</v>
      </c>
      <c r="G35">
        <v>137.8125</v>
      </c>
      <c r="H35">
        <v>110.123707</v>
      </c>
      <c r="I35">
        <v>2709.7359499999998</v>
      </c>
      <c r="J35" s="1">
        <v>5.1265828000000001E-20</v>
      </c>
      <c r="K35">
        <v>8.0161833999999992</v>
      </c>
      <c r="L35">
        <v>52512.311699999998</v>
      </c>
      <c r="M35">
        <v>137.8125</v>
      </c>
      <c r="N35">
        <v>118.125</v>
      </c>
      <c r="O35">
        <v>52244.0625</v>
      </c>
      <c r="P35">
        <v>52500</v>
      </c>
      <c r="Q35">
        <v>2957.6721600000001</v>
      </c>
      <c r="R35">
        <v>52520.327799999999</v>
      </c>
      <c r="S35" s="3">
        <f t="shared" si="1"/>
        <v>100</v>
      </c>
      <c r="T35" s="3">
        <f t="shared" si="1"/>
        <v>93.226418624338621</v>
      </c>
    </row>
    <row r="36" spans="1:20" x14ac:dyDescent="0.3">
      <c r="A36">
        <v>33</v>
      </c>
      <c r="B36" t="s">
        <v>9</v>
      </c>
      <c r="D36">
        <v>5.0999999999999996</v>
      </c>
      <c r="E36">
        <v>166.47480300000001</v>
      </c>
      <c r="F36">
        <v>162.450515</v>
      </c>
      <c r="G36">
        <v>137.8125</v>
      </c>
      <c r="H36">
        <v>111.54978300000001</v>
      </c>
      <c r="I36">
        <v>2902.5054700000001</v>
      </c>
      <c r="J36" s="1">
        <v>2.5621176199999999E-25</v>
      </c>
      <c r="K36">
        <v>6.5901065599999997</v>
      </c>
      <c r="L36">
        <v>52319.542099999999</v>
      </c>
      <c r="M36">
        <v>137.8125</v>
      </c>
      <c r="N36">
        <v>118.125</v>
      </c>
      <c r="O36">
        <v>52244.0625</v>
      </c>
      <c r="P36">
        <v>52500</v>
      </c>
      <c r="Q36">
        <v>3151.8677499999999</v>
      </c>
      <c r="R36">
        <v>52326.132299999997</v>
      </c>
      <c r="S36" s="3">
        <f t="shared" si="1"/>
        <v>100</v>
      </c>
      <c r="T36" s="3">
        <f t="shared" si="1"/>
        <v>94.433678730158732</v>
      </c>
    </row>
    <row r="37" spans="1:20" x14ac:dyDescent="0.3">
      <c r="A37">
        <v>34</v>
      </c>
      <c r="B37" t="s">
        <v>9</v>
      </c>
      <c r="D37">
        <v>5.2</v>
      </c>
      <c r="E37">
        <v>166.48098999999999</v>
      </c>
      <c r="F37">
        <v>162.60617999999999</v>
      </c>
      <c r="G37">
        <v>137.8125</v>
      </c>
      <c r="H37">
        <v>112.734238</v>
      </c>
      <c r="I37">
        <v>3095.69236</v>
      </c>
      <c r="J37" s="1">
        <v>1.1764389000000001E-24</v>
      </c>
      <c r="K37">
        <v>5.4056520099999998</v>
      </c>
      <c r="L37">
        <v>52126.355199999998</v>
      </c>
      <c r="M37">
        <v>137.8125</v>
      </c>
      <c r="N37">
        <v>118.125</v>
      </c>
      <c r="O37">
        <v>52244.0625</v>
      </c>
      <c r="P37">
        <v>52500</v>
      </c>
      <c r="Q37">
        <v>3346.2390999999998</v>
      </c>
      <c r="R37">
        <v>52131.760900000001</v>
      </c>
      <c r="S37" s="3">
        <f t="shared" si="1"/>
        <v>100</v>
      </c>
      <c r="T37" s="3">
        <f t="shared" si="1"/>
        <v>95.436391957671958</v>
      </c>
    </row>
    <row r="38" spans="1:20" x14ac:dyDescent="0.3">
      <c r="A38">
        <v>35</v>
      </c>
      <c r="B38" t="s">
        <v>9</v>
      </c>
      <c r="D38">
        <v>5.3</v>
      </c>
      <c r="E38">
        <v>166.48612199999999</v>
      </c>
      <c r="F38">
        <v>162.746205</v>
      </c>
      <c r="G38">
        <v>137.8125</v>
      </c>
      <c r="H38">
        <v>113.713207</v>
      </c>
      <c r="I38">
        <v>3289.2385599999998</v>
      </c>
      <c r="J38" s="1">
        <v>2.39209683E-25</v>
      </c>
      <c r="K38">
        <v>4.4266834399999997</v>
      </c>
      <c r="L38">
        <v>51932.809000000001</v>
      </c>
      <c r="M38">
        <v>137.8125</v>
      </c>
      <c r="N38">
        <v>118.125</v>
      </c>
      <c r="O38">
        <v>52244.0625</v>
      </c>
      <c r="P38">
        <v>52500</v>
      </c>
      <c r="Q38">
        <v>3540.7642700000001</v>
      </c>
      <c r="R38">
        <v>51937.235699999997</v>
      </c>
      <c r="S38" s="3">
        <f t="shared" si="1"/>
        <v>100</v>
      </c>
      <c r="T38" s="3">
        <f t="shared" si="1"/>
        <v>96.265148783068781</v>
      </c>
    </row>
    <row r="39" spans="1:20" x14ac:dyDescent="0.3">
      <c r="A39">
        <v>36</v>
      </c>
      <c r="B39" t="s">
        <v>9</v>
      </c>
      <c r="D39">
        <v>5.4</v>
      </c>
      <c r="E39">
        <v>166.490364</v>
      </c>
      <c r="F39">
        <v>162.87274300000001</v>
      </c>
      <c r="G39">
        <v>137.8125</v>
      </c>
      <c r="H39">
        <v>114.51912400000001</v>
      </c>
      <c r="I39">
        <v>3483.0925900000002</v>
      </c>
      <c r="J39" s="1">
        <v>6.5576000499999999E-21</v>
      </c>
      <c r="K39">
        <v>3.62076574</v>
      </c>
      <c r="L39">
        <v>51738.955000000002</v>
      </c>
      <c r="M39">
        <v>137.8125</v>
      </c>
      <c r="N39">
        <v>118.125</v>
      </c>
      <c r="O39">
        <v>52244.0625</v>
      </c>
      <c r="P39">
        <v>52500</v>
      </c>
      <c r="Q39">
        <v>3735.4242199999999</v>
      </c>
      <c r="R39">
        <v>51742.575799999999</v>
      </c>
      <c r="S39" s="3">
        <f t="shared" si="1"/>
        <v>100</v>
      </c>
      <c r="T39" s="3">
        <f t="shared" si="1"/>
        <v>96.947406560846574</v>
      </c>
    </row>
    <row r="40" spans="1:20" x14ac:dyDescent="0.3">
      <c r="A40">
        <v>37</v>
      </c>
      <c r="B40" t="s">
        <v>9</v>
      </c>
      <c r="D40">
        <v>5.5</v>
      </c>
      <c r="E40">
        <v>166.49385699999999</v>
      </c>
      <c r="F40">
        <v>162.98755600000001</v>
      </c>
      <c r="G40">
        <v>137.8125</v>
      </c>
      <c r="H40">
        <v>115.180486</v>
      </c>
      <c r="I40">
        <v>3677.2094400000001</v>
      </c>
      <c r="J40" s="1">
        <v>7.7842016399999998E-22</v>
      </c>
      <c r="K40">
        <v>2.95940425</v>
      </c>
      <c r="L40">
        <v>51544.838199999998</v>
      </c>
      <c r="M40">
        <v>137.8125</v>
      </c>
      <c r="N40">
        <v>118.125</v>
      </c>
      <c r="O40">
        <v>52244.0625</v>
      </c>
      <c r="P40">
        <v>52500</v>
      </c>
      <c r="Q40">
        <v>3930.2024299999998</v>
      </c>
      <c r="R40">
        <v>51547.797599999998</v>
      </c>
      <c r="S40" s="3">
        <f t="shared" si="1"/>
        <v>100</v>
      </c>
      <c r="T40" s="3">
        <f t="shared" si="1"/>
        <v>97.507289735449731</v>
      </c>
    </row>
    <row r="41" spans="1:20" x14ac:dyDescent="0.3">
      <c r="A41">
        <v>38</v>
      </c>
      <c r="B41" t="s">
        <v>9</v>
      </c>
      <c r="D41">
        <v>5.6</v>
      </c>
      <c r="E41">
        <v>166.49672799999999</v>
      </c>
      <c r="F41">
        <v>163.09210899999999</v>
      </c>
      <c r="G41">
        <v>137.8125</v>
      </c>
      <c r="H41">
        <v>115.721896</v>
      </c>
      <c r="I41">
        <v>3871.55015</v>
      </c>
      <c r="J41" s="1">
        <v>3.0706996599999999E-21</v>
      </c>
      <c r="K41">
        <v>2.4179941999999999</v>
      </c>
      <c r="L41">
        <v>51350.497499999998</v>
      </c>
      <c r="M41">
        <v>137.8125</v>
      </c>
      <c r="N41">
        <v>118.125</v>
      </c>
      <c r="O41">
        <v>52244.0625</v>
      </c>
      <c r="P41">
        <v>52500</v>
      </c>
      <c r="Q41">
        <v>4125.0845399999998</v>
      </c>
      <c r="R41">
        <v>51352.915500000003</v>
      </c>
      <c r="S41" s="3">
        <f t="shared" si="1"/>
        <v>100</v>
      </c>
      <c r="T41" s="3">
        <f t="shared" si="1"/>
        <v>97.965626243386239</v>
      </c>
    </row>
    <row r="42" spans="1:20" x14ac:dyDescent="0.3">
      <c r="A42">
        <v>39</v>
      </c>
      <c r="B42" t="s">
        <v>9</v>
      </c>
      <c r="D42">
        <v>5.7</v>
      </c>
      <c r="E42">
        <v>166.49908199999999</v>
      </c>
      <c r="F42">
        <v>163.187636</v>
      </c>
      <c r="G42">
        <v>137.8125</v>
      </c>
      <c r="H42">
        <v>116.164306</v>
      </c>
      <c r="I42">
        <v>4066.0812999999998</v>
      </c>
      <c r="J42" s="1">
        <v>3.0613607400000002E-24</v>
      </c>
      <c r="K42">
        <v>1.9755840099999999</v>
      </c>
      <c r="L42">
        <v>51155.9663</v>
      </c>
      <c r="M42">
        <v>137.8125</v>
      </c>
      <c r="N42">
        <v>118.125</v>
      </c>
      <c r="O42">
        <v>52244.0625</v>
      </c>
      <c r="P42">
        <v>52500</v>
      </c>
      <c r="Q42">
        <v>4320.0581099999999</v>
      </c>
      <c r="R42">
        <v>51157.941899999998</v>
      </c>
      <c r="S42" s="3">
        <f t="shared" si="1"/>
        <v>100</v>
      </c>
      <c r="T42" s="3">
        <f t="shared" si="1"/>
        <v>98.340153227513227</v>
      </c>
    </row>
    <row r="43" spans="1:20" x14ac:dyDescent="0.3">
      <c r="A43">
        <v>40</v>
      </c>
      <c r="B43" t="s">
        <v>9</v>
      </c>
      <c r="D43">
        <v>5.8</v>
      </c>
      <c r="E43">
        <v>166.50101100000001</v>
      </c>
      <c r="F43">
        <v>163.275183</v>
      </c>
      <c r="G43">
        <v>137.8125</v>
      </c>
      <c r="H43">
        <v>116.52535899999999</v>
      </c>
      <c r="I43">
        <v>4260.77448</v>
      </c>
      <c r="J43" s="1">
        <v>6.1164469799999997E-21</v>
      </c>
      <c r="K43">
        <v>1.6145312000000001</v>
      </c>
      <c r="L43">
        <v>50961.273099999999</v>
      </c>
      <c r="M43">
        <v>137.8125</v>
      </c>
      <c r="N43">
        <v>118.125</v>
      </c>
      <c r="O43">
        <v>52244.0625</v>
      </c>
      <c r="P43">
        <v>52500</v>
      </c>
      <c r="Q43">
        <v>4515.1123399999997</v>
      </c>
      <c r="R43">
        <v>50962.887699999999</v>
      </c>
      <c r="S43" s="3">
        <f t="shared" si="1"/>
        <v>100</v>
      </c>
      <c r="T43" s="3">
        <f t="shared" si="1"/>
        <v>98.645806560846552</v>
      </c>
    </row>
    <row r="44" spans="1:20" x14ac:dyDescent="0.3">
      <c r="A44">
        <v>41</v>
      </c>
      <c r="B44" t="s">
        <v>9</v>
      </c>
      <c r="D44">
        <v>5.9</v>
      </c>
      <c r="E44">
        <v>166.502589</v>
      </c>
      <c r="F44">
        <v>163.355648</v>
      </c>
      <c r="G44">
        <v>137.8125</v>
      </c>
      <c r="H44">
        <v>116.819777</v>
      </c>
      <c r="I44">
        <v>4455.6055999999999</v>
      </c>
      <c r="J44" s="1">
        <v>1.5261840499999999E-21</v>
      </c>
      <c r="K44">
        <v>1.32011283</v>
      </c>
      <c r="L44">
        <v>50766.442000000003</v>
      </c>
      <c r="M44">
        <v>137.8125</v>
      </c>
      <c r="N44">
        <v>118.125</v>
      </c>
      <c r="O44">
        <v>52244.0625</v>
      </c>
      <c r="P44">
        <v>52500</v>
      </c>
      <c r="Q44">
        <v>4710.2378699999999</v>
      </c>
      <c r="R44">
        <v>50767.7621</v>
      </c>
      <c r="S44" s="3">
        <f t="shared" si="1"/>
        <v>100</v>
      </c>
      <c r="T44" s="3">
        <f t="shared" si="1"/>
        <v>98.895049312169306</v>
      </c>
    </row>
    <row r="45" spans="1:20" x14ac:dyDescent="0.3">
      <c r="A45">
        <v>42</v>
      </c>
      <c r="B45" t="s">
        <v>9</v>
      </c>
      <c r="D45">
        <v>6</v>
      </c>
      <c r="E45">
        <v>166.50388000000001</v>
      </c>
      <c r="F45">
        <v>163.42980399999999</v>
      </c>
      <c r="G45">
        <v>137.8125</v>
      </c>
      <c r="H45">
        <v>117.05976</v>
      </c>
      <c r="I45">
        <v>4650.5543600000001</v>
      </c>
      <c r="J45" s="1">
        <v>1.5232397999999999E-21</v>
      </c>
      <c r="K45">
        <v>1.08013034</v>
      </c>
      <c r="L45">
        <v>50571.493199999997</v>
      </c>
      <c r="M45">
        <v>137.8125</v>
      </c>
      <c r="N45">
        <v>118.125</v>
      </c>
      <c r="O45">
        <v>52244.0625</v>
      </c>
      <c r="P45">
        <v>52500</v>
      </c>
      <c r="Q45">
        <v>4905.4266200000002</v>
      </c>
      <c r="R45">
        <v>50572.573400000001</v>
      </c>
      <c r="S45" s="3">
        <f t="shared" si="1"/>
        <v>100</v>
      </c>
      <c r="T45" s="3">
        <f t="shared" si="1"/>
        <v>99.09820952380953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B90D3-6619-443D-8668-E840DE214B75}">
  <dimension ref="A3:T45"/>
  <sheetViews>
    <sheetView workbookViewId="0">
      <selection activeCell="F8" sqref="F8"/>
    </sheetView>
  </sheetViews>
  <sheetFormatPr defaultRowHeight="14.4" x14ac:dyDescent="0.3"/>
  <cols>
    <col min="1" max="1" width="9.6640625" bestFit="1" customWidth="1"/>
    <col min="2" max="2" width="6.44140625" bestFit="1" customWidth="1"/>
    <col min="3" max="3" width="11.33203125" bestFit="1" customWidth="1"/>
    <col min="4" max="12" width="11" bestFit="1" customWidth="1"/>
    <col min="13" max="13" width="11.33203125" customWidth="1"/>
    <col min="14" max="15" width="11" bestFit="1" customWidth="1"/>
    <col min="19" max="19" width="12" bestFit="1" customWidth="1"/>
  </cols>
  <sheetData>
    <row r="3" spans="1:20" ht="100.8" x14ac:dyDescent="0.3">
      <c r="A3" t="s">
        <v>0</v>
      </c>
      <c r="B3" t="s">
        <v>1</v>
      </c>
      <c r="C3" t="s">
        <v>2</v>
      </c>
      <c r="D3" s="2" t="s">
        <v>3</v>
      </c>
      <c r="E3" s="2" t="s">
        <v>4</v>
      </c>
      <c r="F3" s="2" t="s">
        <v>5</v>
      </c>
      <c r="G3" s="2" t="s">
        <v>10</v>
      </c>
      <c r="H3" s="2" t="s">
        <v>11</v>
      </c>
      <c r="I3" s="2" t="s">
        <v>15</v>
      </c>
      <c r="J3" s="2" t="s">
        <v>12</v>
      </c>
      <c r="K3" s="2" t="s">
        <v>13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6</v>
      </c>
      <c r="Q3" s="2" t="s">
        <v>7</v>
      </c>
      <c r="R3" s="2" t="s">
        <v>8</v>
      </c>
      <c r="S3" s="2" t="s">
        <v>14</v>
      </c>
      <c r="T3" s="2" t="s">
        <v>20</v>
      </c>
    </row>
    <row r="4" spans="1:20" x14ac:dyDescent="0.3">
      <c r="A4">
        <v>1</v>
      </c>
      <c r="B4" t="s">
        <v>62</v>
      </c>
      <c r="D4">
        <v>0.5</v>
      </c>
      <c r="E4">
        <v>137.65763699999999</v>
      </c>
      <c r="F4">
        <v>85.809546999999995</v>
      </c>
      <c r="G4" s="1">
        <v>3.5983551099999999E-4</v>
      </c>
      <c r="H4" s="1">
        <v>161.793329</v>
      </c>
      <c r="I4" s="1">
        <v>166.26160100000001</v>
      </c>
      <c r="J4">
        <v>310.23844600000001</v>
      </c>
      <c r="K4">
        <v>136.05584999999999</v>
      </c>
      <c r="L4">
        <v>54340.7094</v>
      </c>
      <c r="M4">
        <v>131.25</v>
      </c>
      <c r="N4">
        <v>112.5</v>
      </c>
      <c r="O4">
        <v>49756.25</v>
      </c>
      <c r="P4">
        <v>50000</v>
      </c>
      <c r="Q4">
        <v>328.05529000000001</v>
      </c>
      <c r="R4">
        <v>54787.003700000001</v>
      </c>
      <c r="S4" s="3">
        <f>100*G4/M4</f>
        <v>2.7416038933333333E-4</v>
      </c>
      <c r="T4" s="3">
        <f>100*H4/N4</f>
        <v>143.81629244444443</v>
      </c>
    </row>
    <row r="5" spans="1:20" x14ac:dyDescent="0.3">
      <c r="A5">
        <v>2</v>
      </c>
      <c r="B5" t="s">
        <v>62</v>
      </c>
      <c r="D5">
        <v>2</v>
      </c>
      <c r="E5">
        <v>152.91204400000001</v>
      </c>
      <c r="F5">
        <v>60.034743900000002</v>
      </c>
      <c r="G5">
        <v>7.6090655500000004</v>
      </c>
      <c r="H5" s="1">
        <v>1.16304972E-4</v>
      </c>
      <c r="I5">
        <v>0.24528956599999999</v>
      </c>
      <c r="J5" s="1">
        <v>123.640934</v>
      </c>
      <c r="K5">
        <v>112.514774</v>
      </c>
      <c r="L5">
        <v>52733.989800000003</v>
      </c>
      <c r="M5">
        <v>131.25</v>
      </c>
      <c r="N5">
        <v>112.5</v>
      </c>
      <c r="O5">
        <v>49756.25</v>
      </c>
      <c r="P5">
        <v>50000</v>
      </c>
      <c r="Q5">
        <v>7.8544714200000003</v>
      </c>
      <c r="R5">
        <v>52970.145499999999</v>
      </c>
      <c r="S5" s="3">
        <f t="shared" ref="S5:T20" si="0">100*G5/M5</f>
        <v>5.7973832761904767</v>
      </c>
      <c r="T5" s="3">
        <f t="shared" si="0"/>
        <v>1.0338219733333333E-4</v>
      </c>
    </row>
    <row r="6" spans="1:20" x14ac:dyDescent="0.3">
      <c r="A6">
        <v>3</v>
      </c>
      <c r="B6" t="s">
        <v>9</v>
      </c>
      <c r="D6">
        <v>2.1</v>
      </c>
      <c r="E6">
        <v>154.53912099999999</v>
      </c>
      <c r="F6">
        <v>60.065991199999999</v>
      </c>
      <c r="G6">
        <v>20.9261114</v>
      </c>
      <c r="H6" s="1">
        <v>3.2074260800000001E-4</v>
      </c>
      <c r="I6">
        <v>0.63769619499999997</v>
      </c>
      <c r="J6" s="1">
        <v>110.32388899999999</v>
      </c>
      <c r="K6">
        <v>112.51456899999999</v>
      </c>
      <c r="L6">
        <v>52733.597399999999</v>
      </c>
      <c r="M6">
        <v>131.25</v>
      </c>
      <c r="N6">
        <v>112.5</v>
      </c>
      <c r="O6">
        <v>49756.25</v>
      </c>
      <c r="P6">
        <v>50000</v>
      </c>
      <c r="Q6">
        <v>21.5641283</v>
      </c>
      <c r="R6">
        <v>52956.435899999997</v>
      </c>
      <c r="S6" s="3">
        <f t="shared" si="0"/>
        <v>15.943703923809524</v>
      </c>
      <c r="T6" s="3">
        <f t="shared" si="0"/>
        <v>2.8510454044444446E-4</v>
      </c>
    </row>
    <row r="7" spans="1:20" x14ac:dyDescent="0.3">
      <c r="A7">
        <v>4</v>
      </c>
      <c r="B7" t="s">
        <v>9</v>
      </c>
      <c r="D7">
        <v>2.2000000000000002</v>
      </c>
      <c r="E7">
        <v>156.160775</v>
      </c>
      <c r="F7">
        <v>60.109769700000001</v>
      </c>
      <c r="G7">
        <v>34.753030500000001</v>
      </c>
      <c r="H7" s="1">
        <v>5.4495558200000002E-4</v>
      </c>
      <c r="I7">
        <v>1.06160169</v>
      </c>
      <c r="J7" s="1">
        <v>96.496970200000007</v>
      </c>
      <c r="K7">
        <v>112.51434500000001</v>
      </c>
      <c r="L7">
        <v>52733.173499999997</v>
      </c>
      <c r="M7">
        <v>131.25</v>
      </c>
      <c r="N7">
        <v>112.5</v>
      </c>
      <c r="O7">
        <v>49756.25</v>
      </c>
      <c r="P7">
        <v>50000</v>
      </c>
      <c r="Q7">
        <v>35.815177200000001</v>
      </c>
      <c r="R7">
        <v>52942.184800000003</v>
      </c>
      <c r="S7" s="3">
        <f t="shared" si="0"/>
        <v>26.478499428571428</v>
      </c>
      <c r="T7" s="3">
        <f t="shared" si="0"/>
        <v>4.8440496177777777E-4</v>
      </c>
    </row>
    <row r="8" spans="1:20" x14ac:dyDescent="0.3">
      <c r="A8">
        <v>5</v>
      </c>
      <c r="B8" t="s">
        <v>9</v>
      </c>
      <c r="D8">
        <v>2.2999999999999998</v>
      </c>
      <c r="E8">
        <v>157.778052</v>
      </c>
      <c r="F8">
        <v>60.154207399999997</v>
      </c>
      <c r="G8">
        <v>49.166255900000003</v>
      </c>
      <c r="H8" s="1">
        <v>7.9189285600000004E-4</v>
      </c>
      <c r="I8">
        <v>1.50564594</v>
      </c>
      <c r="J8" s="1">
        <v>82.083744100000004</v>
      </c>
      <c r="K8">
        <v>112.514098</v>
      </c>
      <c r="L8">
        <v>52732.729500000001</v>
      </c>
      <c r="M8">
        <v>131.25</v>
      </c>
      <c r="N8">
        <v>112.5</v>
      </c>
      <c r="O8">
        <v>49756.25</v>
      </c>
      <c r="P8">
        <v>50000</v>
      </c>
      <c r="Q8">
        <v>50.672693799999998</v>
      </c>
      <c r="R8">
        <v>52927.327299999997</v>
      </c>
      <c r="S8" s="3">
        <f t="shared" si="0"/>
        <v>37.460004495238103</v>
      </c>
      <c r="T8" s="3">
        <f t="shared" si="0"/>
        <v>7.0390476088888899E-4</v>
      </c>
    </row>
    <row r="9" spans="1:20" x14ac:dyDescent="0.3">
      <c r="A9">
        <v>6</v>
      </c>
      <c r="B9" t="s">
        <v>9</v>
      </c>
      <c r="D9">
        <v>2.4</v>
      </c>
      <c r="E9">
        <v>159.39223200000001</v>
      </c>
      <c r="F9">
        <v>60.201987299999999</v>
      </c>
      <c r="G9">
        <v>64.147771300000002</v>
      </c>
      <c r="H9">
        <v>1.0659596E-3</v>
      </c>
      <c r="I9">
        <v>1.96957929</v>
      </c>
      <c r="J9" s="1">
        <v>67.102228800000006</v>
      </c>
      <c r="K9">
        <v>112.513824</v>
      </c>
      <c r="L9">
        <v>52732.265500000001</v>
      </c>
      <c r="M9">
        <v>131.25</v>
      </c>
      <c r="N9">
        <v>112.5</v>
      </c>
      <c r="O9">
        <v>49756.25</v>
      </c>
      <c r="P9">
        <v>50000</v>
      </c>
      <c r="Q9">
        <v>66.118416600000003</v>
      </c>
      <c r="R9">
        <v>52911.881600000001</v>
      </c>
      <c r="S9" s="3">
        <f t="shared" si="0"/>
        <v>48.87449241904762</v>
      </c>
      <c r="T9" s="3">
        <f t="shared" si="0"/>
        <v>9.475196444444445E-4</v>
      </c>
    </row>
    <row r="10" spans="1:20" x14ac:dyDescent="0.3">
      <c r="A10">
        <v>7</v>
      </c>
      <c r="B10" t="s">
        <v>9</v>
      </c>
      <c r="D10">
        <v>2.5</v>
      </c>
      <c r="E10">
        <v>161.00286299999999</v>
      </c>
      <c r="F10">
        <v>60.2523342</v>
      </c>
      <c r="G10">
        <v>79.7200165</v>
      </c>
      <c r="H10">
        <v>1.3735388700000001E-3</v>
      </c>
      <c r="I10">
        <v>2.4543819099999999</v>
      </c>
      <c r="J10" s="1">
        <v>51.529983700000003</v>
      </c>
      <c r="K10">
        <v>112.513516</v>
      </c>
      <c r="L10">
        <v>52731.780700000003</v>
      </c>
      <c r="M10">
        <v>131.25</v>
      </c>
      <c r="N10">
        <v>112.5</v>
      </c>
      <c r="O10">
        <v>49756.25</v>
      </c>
      <c r="P10">
        <v>50000</v>
      </c>
      <c r="Q10">
        <v>82.175771900000001</v>
      </c>
      <c r="R10">
        <v>52895.824200000003</v>
      </c>
      <c r="S10" s="3">
        <f t="shared" si="0"/>
        <v>60.739060190476195</v>
      </c>
      <c r="T10" s="3">
        <f t="shared" si="0"/>
        <v>1.22092344E-3</v>
      </c>
    </row>
    <row r="11" spans="1:20" x14ac:dyDescent="0.3">
      <c r="A11">
        <v>8</v>
      </c>
      <c r="B11" t="s">
        <v>9</v>
      </c>
      <c r="D11">
        <v>2.6</v>
      </c>
      <c r="E11">
        <v>162.60997599999999</v>
      </c>
      <c r="F11">
        <v>60.305054200000001</v>
      </c>
      <c r="G11">
        <v>95.895472999999996</v>
      </c>
      <c r="H11">
        <v>1.7224529000000001E-3</v>
      </c>
      <c r="I11">
        <v>2.9607371499999999</v>
      </c>
      <c r="J11" s="1">
        <v>35.354527099999999</v>
      </c>
      <c r="K11">
        <v>112.51316799999999</v>
      </c>
      <c r="L11">
        <v>52731.274400000002</v>
      </c>
      <c r="M11">
        <v>131.25</v>
      </c>
      <c r="N11">
        <v>112.5</v>
      </c>
      <c r="O11">
        <v>49756.25</v>
      </c>
      <c r="P11">
        <v>50000</v>
      </c>
      <c r="Q11">
        <v>98.857932599999998</v>
      </c>
      <c r="R11">
        <v>52879.142099999997</v>
      </c>
      <c r="S11" s="3">
        <f t="shared" si="0"/>
        <v>73.063217523809527</v>
      </c>
      <c r="T11" s="3">
        <f t="shared" si="0"/>
        <v>1.5310692444444444E-3</v>
      </c>
    </row>
    <row r="12" spans="1:20" x14ac:dyDescent="0.3">
      <c r="A12">
        <v>9</v>
      </c>
      <c r="B12" t="s">
        <v>9</v>
      </c>
      <c r="D12">
        <v>2.7</v>
      </c>
      <c r="E12">
        <v>164.213447</v>
      </c>
      <c r="F12">
        <v>60.361092499999998</v>
      </c>
      <c r="G12">
        <v>112.686234</v>
      </c>
      <c r="H12">
        <v>2.1224673600000001E-3</v>
      </c>
      <c r="I12">
        <v>3.48937988</v>
      </c>
      <c r="J12" s="1">
        <v>18.563765499999999</v>
      </c>
      <c r="K12">
        <v>112.51276799999999</v>
      </c>
      <c r="L12">
        <v>52730.745699999999</v>
      </c>
      <c r="M12">
        <v>131.25</v>
      </c>
      <c r="N12">
        <v>112.5</v>
      </c>
      <c r="O12">
        <v>49756.25</v>
      </c>
      <c r="P12">
        <v>50000</v>
      </c>
      <c r="Q12">
        <v>116.17773699999999</v>
      </c>
      <c r="R12">
        <v>52861.8223</v>
      </c>
      <c r="S12" s="3">
        <f t="shared" si="0"/>
        <v>85.856178285714293</v>
      </c>
      <c r="T12" s="3">
        <f t="shared" si="0"/>
        <v>1.8866376533333334E-3</v>
      </c>
    </row>
    <row r="13" spans="1:20" x14ac:dyDescent="0.3">
      <c r="A13">
        <v>10</v>
      </c>
      <c r="B13" t="s">
        <v>9</v>
      </c>
      <c r="D13">
        <v>2.8</v>
      </c>
      <c r="E13">
        <v>165.8134</v>
      </c>
      <c r="F13">
        <v>60.419836500000002</v>
      </c>
      <c r="G13">
        <v>130.104859</v>
      </c>
      <c r="H13">
        <v>2.5857055199999999E-3</v>
      </c>
      <c r="I13">
        <v>4.0409740699999999</v>
      </c>
      <c r="J13" s="1">
        <v>1.14514122</v>
      </c>
      <c r="K13">
        <v>112.512304</v>
      </c>
      <c r="L13">
        <v>52730.194100000001</v>
      </c>
      <c r="M13">
        <v>131.25</v>
      </c>
      <c r="N13">
        <v>112.5</v>
      </c>
      <c r="O13">
        <v>49756.25</v>
      </c>
      <c r="P13">
        <v>50000</v>
      </c>
      <c r="Q13">
        <v>134.14841899999999</v>
      </c>
      <c r="R13">
        <v>52843.851600000002</v>
      </c>
      <c r="S13" s="3">
        <f t="shared" si="0"/>
        <v>99.12751161904761</v>
      </c>
      <c r="T13" s="3">
        <f t="shared" si="0"/>
        <v>2.2984049066666666E-3</v>
      </c>
    </row>
    <row r="14" spans="1:20" x14ac:dyDescent="0.3">
      <c r="A14">
        <v>11</v>
      </c>
      <c r="B14" t="s">
        <v>9</v>
      </c>
      <c r="D14">
        <v>2.9</v>
      </c>
      <c r="E14">
        <v>165.92841000000001</v>
      </c>
      <c r="F14">
        <v>61.400146399999997</v>
      </c>
      <c r="G14">
        <v>131.249989</v>
      </c>
      <c r="H14">
        <v>2.2754133699999999</v>
      </c>
      <c r="I14">
        <v>7.3538975200000003</v>
      </c>
      <c r="J14" s="1">
        <v>1.8987546200000001E-16</v>
      </c>
      <c r="K14">
        <v>110.23947699999999</v>
      </c>
      <c r="L14">
        <v>52726.881200000003</v>
      </c>
      <c r="M14">
        <v>131.25</v>
      </c>
      <c r="N14">
        <v>112.5</v>
      </c>
      <c r="O14">
        <v>49756.25</v>
      </c>
      <c r="P14">
        <v>50000</v>
      </c>
      <c r="Q14">
        <v>140.8793</v>
      </c>
      <c r="R14">
        <v>52837.120699999999</v>
      </c>
      <c r="S14" s="3">
        <f t="shared" si="0"/>
        <v>99.99999161904762</v>
      </c>
      <c r="T14" s="3">
        <f t="shared" si="0"/>
        <v>2.0225896622222224</v>
      </c>
    </row>
    <row r="15" spans="1:20" x14ac:dyDescent="0.3">
      <c r="A15">
        <v>12</v>
      </c>
      <c r="B15" t="s">
        <v>9</v>
      </c>
      <c r="D15">
        <v>3</v>
      </c>
      <c r="E15">
        <v>165.95744099999999</v>
      </c>
      <c r="F15">
        <v>62.540273499999998</v>
      </c>
      <c r="G15">
        <v>131.24999800000001</v>
      </c>
      <c r="H15">
        <v>7.78145943</v>
      </c>
      <c r="I15">
        <v>9.0195468699999992</v>
      </c>
      <c r="J15" s="1">
        <v>5.4112714100000001E-18</v>
      </c>
      <c r="K15">
        <v>104.733431</v>
      </c>
      <c r="L15">
        <v>52725.215600000003</v>
      </c>
      <c r="M15">
        <v>131.25</v>
      </c>
      <c r="N15">
        <v>112.5</v>
      </c>
      <c r="O15">
        <v>49756.25</v>
      </c>
      <c r="P15">
        <v>50000</v>
      </c>
      <c r="Q15">
        <v>148.051005</v>
      </c>
      <c r="R15">
        <v>52829.949000000001</v>
      </c>
      <c r="S15" s="3">
        <f t="shared" si="0"/>
        <v>99.999998476190484</v>
      </c>
      <c r="T15" s="3">
        <f t="shared" si="0"/>
        <v>6.9168528266666662</v>
      </c>
    </row>
    <row r="16" spans="1:20" x14ac:dyDescent="0.3">
      <c r="A16">
        <v>13</v>
      </c>
      <c r="B16" t="s">
        <v>9</v>
      </c>
      <c r="D16">
        <v>3.1</v>
      </c>
      <c r="E16">
        <v>165.99318700000001</v>
      </c>
      <c r="F16">
        <v>64.972854999999996</v>
      </c>
      <c r="G16">
        <v>131.24997400000001</v>
      </c>
      <c r="H16">
        <v>14.560867399999999</v>
      </c>
      <c r="I16">
        <v>11.1148884</v>
      </c>
      <c r="J16" s="1">
        <v>2.50733257E-18</v>
      </c>
      <c r="K16">
        <v>97.9540279</v>
      </c>
      <c r="L16">
        <v>52723.120199999998</v>
      </c>
      <c r="M16">
        <v>131.25</v>
      </c>
      <c r="N16">
        <v>112.5</v>
      </c>
      <c r="O16">
        <v>49756.25</v>
      </c>
      <c r="P16">
        <v>50000</v>
      </c>
      <c r="Q16">
        <v>156.92572999999999</v>
      </c>
      <c r="R16">
        <v>52821.0743</v>
      </c>
      <c r="S16" s="3">
        <f t="shared" si="0"/>
        <v>99.999980190476194</v>
      </c>
      <c r="T16" s="3">
        <f t="shared" si="0"/>
        <v>12.942993244444445</v>
      </c>
    </row>
    <row r="17" spans="1:20" x14ac:dyDescent="0.3">
      <c r="A17">
        <v>14</v>
      </c>
      <c r="B17" t="s">
        <v>9</v>
      </c>
      <c r="D17">
        <v>3.2</v>
      </c>
      <c r="E17">
        <v>166.03065100000001</v>
      </c>
      <c r="F17">
        <v>70.017121700000004</v>
      </c>
      <c r="G17">
        <v>131.25</v>
      </c>
      <c r="H17">
        <v>21.667714700000001</v>
      </c>
      <c r="I17">
        <v>14.429885199999999</v>
      </c>
      <c r="J17" s="1">
        <v>1.29173169E-18</v>
      </c>
      <c r="K17">
        <v>90.847175300000004</v>
      </c>
      <c r="L17">
        <v>52719.805200000003</v>
      </c>
      <c r="M17">
        <v>131.25</v>
      </c>
      <c r="N17">
        <v>112.5</v>
      </c>
      <c r="O17">
        <v>49756.25</v>
      </c>
      <c r="P17">
        <v>50000</v>
      </c>
      <c r="Q17">
        <v>167.3476</v>
      </c>
      <c r="R17">
        <v>52810.652399999999</v>
      </c>
      <c r="S17" s="3">
        <f t="shared" si="0"/>
        <v>100</v>
      </c>
      <c r="T17" s="3">
        <f t="shared" si="0"/>
        <v>19.260190844444445</v>
      </c>
    </row>
    <row r="18" spans="1:20" x14ac:dyDescent="0.3">
      <c r="A18">
        <v>15</v>
      </c>
      <c r="B18" t="s">
        <v>9</v>
      </c>
      <c r="D18">
        <v>3.3</v>
      </c>
      <c r="E18">
        <v>166.068251</v>
      </c>
      <c r="F18">
        <v>79.346055500000006</v>
      </c>
      <c r="G18">
        <v>131.24992399999999</v>
      </c>
      <c r="H18">
        <v>28.803955299999998</v>
      </c>
      <c r="I18">
        <v>20.302813199999999</v>
      </c>
      <c r="J18" s="1">
        <v>7.3199122300000001E-19</v>
      </c>
      <c r="K18">
        <v>83.710933499999996</v>
      </c>
      <c r="L18">
        <v>52713.9323</v>
      </c>
      <c r="M18">
        <v>131.25</v>
      </c>
      <c r="N18">
        <v>112.5</v>
      </c>
      <c r="O18">
        <v>49756.25</v>
      </c>
      <c r="P18">
        <v>50000</v>
      </c>
      <c r="Q18">
        <v>180.35669300000001</v>
      </c>
      <c r="R18">
        <v>52797.643300000003</v>
      </c>
      <c r="S18" s="3">
        <f t="shared" si="0"/>
        <v>99.999942095238083</v>
      </c>
      <c r="T18" s="3">
        <f t="shared" si="0"/>
        <v>25.603515822222221</v>
      </c>
    </row>
    <row r="19" spans="1:20" x14ac:dyDescent="0.3">
      <c r="A19">
        <v>16</v>
      </c>
      <c r="B19" t="s">
        <v>9</v>
      </c>
      <c r="D19">
        <v>3.4</v>
      </c>
      <c r="E19">
        <v>166.10544400000001</v>
      </c>
      <c r="F19">
        <v>93.479731000000001</v>
      </c>
      <c r="G19">
        <v>131.24998299999999</v>
      </c>
      <c r="H19">
        <v>35.869732599999999</v>
      </c>
      <c r="I19">
        <v>31.787504800000001</v>
      </c>
      <c r="J19" s="1">
        <v>3.8159116499999999E-19</v>
      </c>
      <c r="K19">
        <v>76.6451536</v>
      </c>
      <c r="L19">
        <v>52702.4476</v>
      </c>
      <c r="M19">
        <v>131.25</v>
      </c>
      <c r="N19">
        <v>112.5</v>
      </c>
      <c r="O19">
        <v>49756.25</v>
      </c>
      <c r="P19">
        <v>50000</v>
      </c>
      <c r="Q19">
        <v>198.90722</v>
      </c>
      <c r="R19">
        <v>52779.092799999999</v>
      </c>
      <c r="S19" s="3">
        <f t="shared" si="0"/>
        <v>99.999987047619044</v>
      </c>
      <c r="T19" s="3">
        <f t="shared" si="0"/>
        <v>31.884206755555553</v>
      </c>
    </row>
    <row r="20" spans="1:20" x14ac:dyDescent="0.3">
      <c r="A20">
        <v>17</v>
      </c>
      <c r="B20" t="s">
        <v>9</v>
      </c>
      <c r="D20">
        <v>3.5</v>
      </c>
      <c r="E20">
        <v>166.14206899999999</v>
      </c>
      <c r="F20">
        <v>111.638047</v>
      </c>
      <c r="G20">
        <v>131.24998600000001</v>
      </c>
      <c r="H20">
        <v>42.843605799999999</v>
      </c>
      <c r="I20">
        <v>57.093404100000001</v>
      </c>
      <c r="J20" s="1">
        <v>2.1928772899999998E-19</v>
      </c>
      <c r="K20">
        <v>69.671287699999993</v>
      </c>
      <c r="L20">
        <v>52677.1417</v>
      </c>
      <c r="M20">
        <v>131.25</v>
      </c>
      <c r="N20">
        <v>112.5</v>
      </c>
      <c r="O20">
        <v>49756.25</v>
      </c>
      <c r="P20">
        <v>50000</v>
      </c>
      <c r="Q20">
        <v>231.186995</v>
      </c>
      <c r="R20">
        <v>52746.813000000002</v>
      </c>
      <c r="S20" s="3">
        <f t="shared" si="0"/>
        <v>99.999989333333346</v>
      </c>
      <c r="T20" s="3">
        <f t="shared" si="0"/>
        <v>38.083205155555554</v>
      </c>
    </row>
    <row r="21" spans="1:20" x14ac:dyDescent="0.3">
      <c r="A21">
        <v>18</v>
      </c>
      <c r="B21" t="s">
        <v>9</v>
      </c>
      <c r="D21">
        <v>3.6</v>
      </c>
      <c r="E21">
        <v>166.17833300000001</v>
      </c>
      <c r="F21">
        <v>130.72806</v>
      </c>
      <c r="G21">
        <v>131.25</v>
      </c>
      <c r="H21">
        <v>49.784807899999997</v>
      </c>
      <c r="I21">
        <v>117.687667</v>
      </c>
      <c r="J21" s="1">
        <v>1.1664560299999999E-19</v>
      </c>
      <c r="K21">
        <v>62.730082299999999</v>
      </c>
      <c r="L21">
        <v>52616.547400000003</v>
      </c>
      <c r="M21">
        <v>131.25</v>
      </c>
      <c r="N21">
        <v>112.5</v>
      </c>
      <c r="O21">
        <v>49756.25</v>
      </c>
      <c r="P21">
        <v>50000</v>
      </c>
      <c r="Q21">
        <v>298.72247499999997</v>
      </c>
      <c r="R21">
        <v>52679.277499999997</v>
      </c>
      <c r="S21" s="3">
        <f t="shared" ref="S21:T46" si="1">100*G21/M21</f>
        <v>100</v>
      </c>
      <c r="T21" s="3">
        <f t="shared" si="1"/>
        <v>44.253162577777772</v>
      </c>
    </row>
    <row r="22" spans="1:20" x14ac:dyDescent="0.3">
      <c r="A22">
        <v>19</v>
      </c>
      <c r="B22" t="s">
        <v>9</v>
      </c>
      <c r="D22">
        <v>3.7</v>
      </c>
      <c r="E22">
        <v>166.21438599999999</v>
      </c>
      <c r="F22">
        <v>144.081108</v>
      </c>
      <c r="G22">
        <v>131.24999700000001</v>
      </c>
      <c r="H22">
        <v>56.729901900000002</v>
      </c>
      <c r="I22">
        <v>234.06901099999999</v>
      </c>
      <c r="J22" s="1">
        <v>8.0583908699999996E-23</v>
      </c>
      <c r="K22">
        <v>55.784987600000001</v>
      </c>
      <c r="L22">
        <v>52500.166100000002</v>
      </c>
      <c r="M22">
        <v>131.25</v>
      </c>
      <c r="N22">
        <v>112.5</v>
      </c>
      <c r="O22">
        <v>49756.25</v>
      </c>
      <c r="P22">
        <v>50000</v>
      </c>
      <c r="Q22">
        <v>422.04890999999998</v>
      </c>
      <c r="R22">
        <v>52555.951099999998</v>
      </c>
      <c r="S22" s="3">
        <f t="shared" si="1"/>
        <v>99.999997714285712</v>
      </c>
      <c r="T22" s="3">
        <f t="shared" si="1"/>
        <v>50.426579466666674</v>
      </c>
    </row>
    <row r="23" spans="1:20" x14ac:dyDescent="0.3">
      <c r="A23">
        <v>20</v>
      </c>
      <c r="B23" t="s">
        <v>9</v>
      </c>
      <c r="D23">
        <v>3.8</v>
      </c>
      <c r="E23">
        <v>166.24945399999999</v>
      </c>
      <c r="F23">
        <v>150.94361799999999</v>
      </c>
      <c r="G23">
        <v>131.25</v>
      </c>
      <c r="H23">
        <v>63.495217199999999</v>
      </c>
      <c r="I23">
        <v>388.63513899999998</v>
      </c>
      <c r="J23" s="1">
        <v>7.0869394499999997E-20</v>
      </c>
      <c r="K23">
        <v>49.019672800000002</v>
      </c>
      <c r="L23">
        <v>52345.599999999999</v>
      </c>
      <c r="M23">
        <v>131.25</v>
      </c>
      <c r="N23">
        <v>112.5</v>
      </c>
      <c r="O23">
        <v>49756.25</v>
      </c>
      <c r="P23">
        <v>50000</v>
      </c>
      <c r="Q23">
        <v>583.380357</v>
      </c>
      <c r="R23">
        <v>52394.619599999998</v>
      </c>
      <c r="S23" s="3">
        <f t="shared" si="1"/>
        <v>100</v>
      </c>
      <c r="T23" s="3">
        <f t="shared" si="1"/>
        <v>56.440193066666666</v>
      </c>
    </row>
    <row r="24" spans="1:20" x14ac:dyDescent="0.3">
      <c r="A24">
        <v>21</v>
      </c>
      <c r="B24" t="s">
        <v>9</v>
      </c>
      <c r="D24">
        <v>3.9</v>
      </c>
      <c r="E24">
        <v>166.282681</v>
      </c>
      <c r="F24">
        <v>154.551042</v>
      </c>
      <c r="G24">
        <v>131.25</v>
      </c>
      <c r="H24">
        <v>69.889682300000004</v>
      </c>
      <c r="I24">
        <v>559.47939499999995</v>
      </c>
      <c r="J24" s="1">
        <v>4.4031224200000002E-20</v>
      </c>
      <c r="K24">
        <v>42.625207600000003</v>
      </c>
      <c r="L24">
        <v>52174.755700000002</v>
      </c>
      <c r="M24">
        <v>131.25</v>
      </c>
      <c r="N24">
        <v>112.5</v>
      </c>
      <c r="O24">
        <v>49756.25</v>
      </c>
      <c r="P24">
        <v>50000</v>
      </c>
      <c r="Q24">
        <v>760.61907799999994</v>
      </c>
      <c r="R24">
        <v>52217.380899999996</v>
      </c>
      <c r="S24" s="3">
        <f t="shared" si="1"/>
        <v>100</v>
      </c>
      <c r="T24" s="3">
        <f t="shared" si="1"/>
        <v>62.124162044444446</v>
      </c>
    </row>
    <row r="25" spans="1:20" x14ac:dyDescent="0.3">
      <c r="A25">
        <v>22</v>
      </c>
      <c r="B25" t="s">
        <v>9</v>
      </c>
      <c r="D25">
        <v>4</v>
      </c>
      <c r="E25">
        <v>166.31356299999999</v>
      </c>
      <c r="F25">
        <v>156.6865</v>
      </c>
      <c r="G25">
        <v>131.25</v>
      </c>
      <c r="H25">
        <v>75.810011700000004</v>
      </c>
      <c r="I25">
        <v>737.57751900000005</v>
      </c>
      <c r="J25" s="1">
        <v>3.2077268199999999E-21</v>
      </c>
      <c r="K25">
        <v>36.704878299999997</v>
      </c>
      <c r="L25">
        <v>51996.657599999999</v>
      </c>
      <c r="M25">
        <v>131.25</v>
      </c>
      <c r="N25">
        <v>112.5</v>
      </c>
      <c r="O25">
        <v>49756.25</v>
      </c>
      <c r="P25">
        <v>50000</v>
      </c>
      <c r="Q25">
        <v>944.63753099999997</v>
      </c>
      <c r="R25">
        <v>52033.362500000003</v>
      </c>
      <c r="S25" s="3">
        <f t="shared" si="1"/>
        <v>100</v>
      </c>
      <c r="T25" s="3">
        <f t="shared" si="1"/>
        <v>67.386677066666664</v>
      </c>
    </row>
    <row r="26" spans="1:20" x14ac:dyDescent="0.3">
      <c r="A26">
        <v>23</v>
      </c>
      <c r="B26" t="s">
        <v>9</v>
      </c>
      <c r="D26">
        <v>4.0999999999999996</v>
      </c>
      <c r="E26">
        <v>166.34179499999999</v>
      </c>
      <c r="F26">
        <v>158.085835</v>
      </c>
      <c r="G26">
        <v>131.24999299999999</v>
      </c>
      <c r="H26">
        <v>81.199593199999995</v>
      </c>
      <c r="I26">
        <v>919.59518600000001</v>
      </c>
      <c r="J26" s="1">
        <v>1.2069595100000001E-21</v>
      </c>
      <c r="K26">
        <v>31.315297300000001</v>
      </c>
      <c r="L26">
        <v>51814.639900000002</v>
      </c>
      <c r="M26">
        <v>131.25</v>
      </c>
      <c r="N26">
        <v>112.5</v>
      </c>
      <c r="O26">
        <v>49756.25</v>
      </c>
      <c r="P26">
        <v>50000</v>
      </c>
      <c r="Q26">
        <v>1132.04477</v>
      </c>
      <c r="R26">
        <v>51845.955199999997</v>
      </c>
      <c r="S26" s="3">
        <f t="shared" si="1"/>
        <v>99.999994666666666</v>
      </c>
      <c r="T26" s="3">
        <f t="shared" si="1"/>
        <v>72.177416177777772</v>
      </c>
    </row>
    <row r="27" spans="1:20" x14ac:dyDescent="0.3">
      <c r="A27">
        <v>24</v>
      </c>
      <c r="B27" t="s">
        <v>9</v>
      </c>
      <c r="D27">
        <v>4.2</v>
      </c>
      <c r="E27">
        <v>166.36721199999999</v>
      </c>
      <c r="F27">
        <v>159.07482099999999</v>
      </c>
      <c r="G27">
        <v>131.24999700000001</v>
      </c>
      <c r="H27">
        <v>86.030978599999997</v>
      </c>
      <c r="I27">
        <v>1104.1234199999999</v>
      </c>
      <c r="J27" s="1">
        <v>2.5837654100000001E-20</v>
      </c>
      <c r="K27">
        <v>26.483911500000001</v>
      </c>
      <c r="L27">
        <v>51630.111700000001</v>
      </c>
      <c r="M27">
        <v>131.25</v>
      </c>
      <c r="N27">
        <v>112.5</v>
      </c>
      <c r="O27">
        <v>49756.25</v>
      </c>
      <c r="P27">
        <v>50000</v>
      </c>
      <c r="Q27">
        <v>1321.4043999999999</v>
      </c>
      <c r="R27">
        <v>51656.595600000001</v>
      </c>
      <c r="S27" s="3">
        <f t="shared" si="1"/>
        <v>99.999997714285712</v>
      </c>
      <c r="T27" s="3">
        <f t="shared" si="1"/>
        <v>76.471980977777775</v>
      </c>
    </row>
    <row r="28" spans="1:20" x14ac:dyDescent="0.3">
      <c r="A28">
        <v>25</v>
      </c>
      <c r="B28" t="s">
        <v>9</v>
      </c>
      <c r="D28">
        <v>4.3</v>
      </c>
      <c r="E28">
        <v>166.389757</v>
      </c>
      <c r="F28">
        <v>159.81419399999999</v>
      </c>
      <c r="G28">
        <v>131.249999</v>
      </c>
      <c r="H28">
        <v>90.2981075</v>
      </c>
      <c r="I28">
        <v>1290.4774399999999</v>
      </c>
      <c r="J28" s="1">
        <v>3.9920158399999998E-19</v>
      </c>
      <c r="K28">
        <v>22.216782500000001</v>
      </c>
      <c r="L28">
        <v>51443.757700000002</v>
      </c>
      <c r="M28">
        <v>131.25</v>
      </c>
      <c r="N28">
        <v>112.5</v>
      </c>
      <c r="O28">
        <v>49756.25</v>
      </c>
      <c r="P28">
        <v>50000</v>
      </c>
      <c r="Q28">
        <v>1512.0255400000001</v>
      </c>
      <c r="R28">
        <v>51465.974499999997</v>
      </c>
      <c r="S28" s="3">
        <f t="shared" si="1"/>
        <v>99.999999238095242</v>
      </c>
      <c r="T28" s="3">
        <f t="shared" si="1"/>
        <v>80.264984444444451</v>
      </c>
    </row>
    <row r="29" spans="1:20" x14ac:dyDescent="0.3">
      <c r="A29">
        <v>26</v>
      </c>
      <c r="B29" t="s">
        <v>9</v>
      </c>
      <c r="D29">
        <v>4.4000000000000004</v>
      </c>
      <c r="E29">
        <v>166.40947499999999</v>
      </c>
      <c r="F29">
        <v>160.39084500000001</v>
      </c>
      <c r="G29">
        <v>131.249999</v>
      </c>
      <c r="H29">
        <v>94.014422800000006</v>
      </c>
      <c r="I29">
        <v>1478.2694300000001</v>
      </c>
      <c r="J29" s="1">
        <v>8.6136527400000007E-22</v>
      </c>
      <c r="K29">
        <v>18.500467100000002</v>
      </c>
      <c r="L29">
        <v>51255.965700000001</v>
      </c>
      <c r="M29">
        <v>131.25</v>
      </c>
      <c r="N29">
        <v>112.5</v>
      </c>
      <c r="O29">
        <v>49756.25</v>
      </c>
      <c r="P29">
        <v>50000</v>
      </c>
      <c r="Q29">
        <v>1703.53385</v>
      </c>
      <c r="R29">
        <v>51274.466099999998</v>
      </c>
      <c r="S29" s="3">
        <f t="shared" si="1"/>
        <v>99.999999238095242</v>
      </c>
      <c r="T29" s="3">
        <f t="shared" si="1"/>
        <v>83.568375822222237</v>
      </c>
    </row>
    <row r="30" spans="1:20" x14ac:dyDescent="0.3">
      <c r="A30">
        <v>27</v>
      </c>
      <c r="B30" t="s">
        <v>9</v>
      </c>
      <c r="D30">
        <v>4.5</v>
      </c>
      <c r="E30">
        <v>166.42649700000001</v>
      </c>
      <c r="F30">
        <v>160.85534799999999</v>
      </c>
      <c r="G30">
        <v>131.25</v>
      </c>
      <c r="H30">
        <v>97.209169500000002</v>
      </c>
      <c r="I30">
        <v>1667.24784</v>
      </c>
      <c r="J30" s="1">
        <v>1.2856330200000001E-21</v>
      </c>
      <c r="K30">
        <v>15.3057204</v>
      </c>
      <c r="L30">
        <v>51066.987300000001</v>
      </c>
      <c r="M30">
        <v>131.25</v>
      </c>
      <c r="N30">
        <v>112.5</v>
      </c>
      <c r="O30">
        <v>49756.25</v>
      </c>
      <c r="P30">
        <v>50000</v>
      </c>
      <c r="Q30">
        <v>1895.7070100000001</v>
      </c>
      <c r="R30">
        <v>51082.292999999998</v>
      </c>
      <c r="S30" s="3">
        <f t="shared" si="1"/>
        <v>100</v>
      </c>
      <c r="T30" s="3">
        <f t="shared" si="1"/>
        <v>86.408150666666671</v>
      </c>
    </row>
    <row r="31" spans="1:20" x14ac:dyDescent="0.3">
      <c r="A31">
        <v>28</v>
      </c>
      <c r="B31" t="s">
        <v>9</v>
      </c>
      <c r="D31">
        <v>4.5999999999999996</v>
      </c>
      <c r="E31">
        <v>166.44101599999999</v>
      </c>
      <c r="F31">
        <v>161.23894999999999</v>
      </c>
      <c r="G31">
        <v>131.25</v>
      </c>
      <c r="H31">
        <v>99.923281500000002</v>
      </c>
      <c r="I31">
        <v>1857.22847</v>
      </c>
      <c r="J31" s="1">
        <v>1.18497729E-21</v>
      </c>
      <c r="K31">
        <v>12.5916084</v>
      </c>
      <c r="L31">
        <v>50877.006600000001</v>
      </c>
      <c r="M31">
        <v>131.25</v>
      </c>
      <c r="N31">
        <v>112.5</v>
      </c>
      <c r="O31">
        <v>49756.25</v>
      </c>
      <c r="P31">
        <v>50000</v>
      </c>
      <c r="Q31">
        <v>2088.40175</v>
      </c>
      <c r="R31">
        <v>50889.5982</v>
      </c>
      <c r="S31" s="3">
        <f t="shared" si="1"/>
        <v>100</v>
      </c>
      <c r="T31" s="3">
        <f t="shared" si="1"/>
        <v>88.820694666666668</v>
      </c>
    </row>
    <row r="32" spans="1:20" x14ac:dyDescent="0.3">
      <c r="A32">
        <v>29</v>
      </c>
      <c r="B32" t="s">
        <v>9</v>
      </c>
      <c r="D32">
        <v>4.7</v>
      </c>
      <c r="E32">
        <v>166.453272</v>
      </c>
      <c r="F32">
        <v>161.56194400000001</v>
      </c>
      <c r="G32">
        <v>131.25</v>
      </c>
      <c r="H32">
        <v>102.20501299999999</v>
      </c>
      <c r="I32">
        <v>2048.0639099999999</v>
      </c>
      <c r="J32" s="1">
        <v>3.4417447999999999E-21</v>
      </c>
      <c r="K32">
        <v>10.3098765</v>
      </c>
      <c r="L32">
        <v>50686.171199999997</v>
      </c>
      <c r="M32">
        <v>131.25</v>
      </c>
      <c r="N32">
        <v>112.5</v>
      </c>
      <c r="O32">
        <v>49756.25</v>
      </c>
      <c r="P32">
        <v>50000</v>
      </c>
      <c r="Q32">
        <v>2281.5189300000002</v>
      </c>
      <c r="R32">
        <v>50696.481099999997</v>
      </c>
      <c r="S32" s="3">
        <f t="shared" si="1"/>
        <v>100</v>
      </c>
      <c r="T32" s="3">
        <f t="shared" si="1"/>
        <v>90.848900444444439</v>
      </c>
    </row>
    <row r="33" spans="1:20" x14ac:dyDescent="0.3">
      <c r="A33">
        <v>30</v>
      </c>
      <c r="B33" t="s">
        <v>9</v>
      </c>
      <c r="D33">
        <v>4.8</v>
      </c>
      <c r="E33">
        <v>166.46352300000001</v>
      </c>
      <c r="F33">
        <v>161.83808300000001</v>
      </c>
      <c r="G33">
        <v>131.25</v>
      </c>
      <c r="H33">
        <v>104.105867</v>
      </c>
      <c r="I33">
        <v>2239.6298400000001</v>
      </c>
      <c r="J33" s="1">
        <v>6.4471833500000002E-25</v>
      </c>
      <c r="K33">
        <v>8.4090227300000002</v>
      </c>
      <c r="L33">
        <v>50494.605300000003</v>
      </c>
      <c r="M33">
        <v>131.25</v>
      </c>
      <c r="N33">
        <v>112.5</v>
      </c>
      <c r="O33">
        <v>49756.25</v>
      </c>
      <c r="P33">
        <v>50000</v>
      </c>
      <c r="Q33">
        <v>2474.9857099999999</v>
      </c>
      <c r="R33">
        <v>50503.014300000003</v>
      </c>
      <c r="S33" s="3">
        <f t="shared" si="1"/>
        <v>100</v>
      </c>
      <c r="T33" s="3">
        <f t="shared" si="1"/>
        <v>92.538548444444444</v>
      </c>
    </row>
    <row r="34" spans="1:20" x14ac:dyDescent="0.3">
      <c r="A34">
        <v>31</v>
      </c>
      <c r="B34" t="s">
        <v>9</v>
      </c>
      <c r="D34">
        <v>4.9000000000000004</v>
      </c>
      <c r="E34">
        <v>166.47202999999999</v>
      </c>
      <c r="F34">
        <v>162.077056</v>
      </c>
      <c r="G34">
        <v>131.25</v>
      </c>
      <c r="H34">
        <v>105.67722500000001</v>
      </c>
      <c r="I34">
        <v>2431.8187899999998</v>
      </c>
      <c r="J34" s="1">
        <v>2.75669749E-22</v>
      </c>
      <c r="K34">
        <v>6.8376647000000004</v>
      </c>
      <c r="L34">
        <v>50302.416299999997</v>
      </c>
      <c r="M34">
        <v>131.25</v>
      </c>
      <c r="N34">
        <v>112.5</v>
      </c>
      <c r="O34">
        <v>49756.25</v>
      </c>
      <c r="P34">
        <v>50000</v>
      </c>
      <c r="Q34">
        <v>2668.74602</v>
      </c>
      <c r="R34">
        <v>50309.254000000001</v>
      </c>
      <c r="S34" s="3">
        <f t="shared" si="1"/>
        <v>100</v>
      </c>
      <c r="T34" s="3">
        <f t="shared" si="1"/>
        <v>93.935311111111105</v>
      </c>
    </row>
    <row r="35" spans="1:20" x14ac:dyDescent="0.3">
      <c r="A35">
        <v>32</v>
      </c>
      <c r="B35" t="s">
        <v>9</v>
      </c>
      <c r="D35">
        <v>5</v>
      </c>
      <c r="E35">
        <v>166.47904500000001</v>
      </c>
      <c r="F35">
        <v>162.28591499999999</v>
      </c>
      <c r="G35">
        <v>131.25</v>
      </c>
      <c r="H35">
        <v>106.967877</v>
      </c>
      <c r="I35">
        <v>2624.5373</v>
      </c>
      <c r="J35" s="1">
        <v>2.4588140299999999E-22</v>
      </c>
      <c r="K35">
        <v>5.5470134800000004</v>
      </c>
      <c r="L35">
        <v>50109.697800000002</v>
      </c>
      <c r="M35">
        <v>131.25</v>
      </c>
      <c r="N35">
        <v>112.5</v>
      </c>
      <c r="O35">
        <v>49756.25</v>
      </c>
      <c r="P35">
        <v>50000</v>
      </c>
      <c r="Q35">
        <v>2862.7551800000001</v>
      </c>
      <c r="R35">
        <v>50115.2448</v>
      </c>
      <c r="S35" s="3">
        <f t="shared" si="1"/>
        <v>100</v>
      </c>
      <c r="T35" s="3">
        <f t="shared" si="1"/>
        <v>95.082557333333341</v>
      </c>
    </row>
    <row r="36" spans="1:20" x14ac:dyDescent="0.3">
      <c r="A36">
        <v>33</v>
      </c>
      <c r="B36" t="s">
        <v>9</v>
      </c>
      <c r="D36">
        <v>5.0999999999999996</v>
      </c>
      <c r="E36">
        <v>166.48479900000001</v>
      </c>
      <c r="F36">
        <v>162.469953</v>
      </c>
      <c r="G36">
        <v>131.25</v>
      </c>
      <c r="H36">
        <v>108.02243300000001</v>
      </c>
      <c r="I36">
        <v>2817.7042900000001</v>
      </c>
      <c r="J36" s="1">
        <v>7.7488365100000002E-22</v>
      </c>
      <c r="K36">
        <v>4.4924573700000003</v>
      </c>
      <c r="L36">
        <v>49916.5308</v>
      </c>
      <c r="M36">
        <v>131.25</v>
      </c>
      <c r="N36">
        <v>112.5</v>
      </c>
      <c r="O36">
        <v>49756.25</v>
      </c>
      <c r="P36">
        <v>50000</v>
      </c>
      <c r="Q36">
        <v>3056.9767299999999</v>
      </c>
      <c r="R36">
        <v>49921.023300000001</v>
      </c>
      <c r="S36" s="3">
        <f t="shared" si="1"/>
        <v>100</v>
      </c>
      <c r="T36" s="3">
        <f t="shared" si="1"/>
        <v>96.019940444444444</v>
      </c>
    </row>
    <row r="37" spans="1:20" x14ac:dyDescent="0.3">
      <c r="A37">
        <v>34</v>
      </c>
      <c r="B37" t="s">
        <v>9</v>
      </c>
      <c r="D37">
        <v>5.2</v>
      </c>
      <c r="E37">
        <v>166.489499</v>
      </c>
      <c r="F37">
        <v>162.63324299999999</v>
      </c>
      <c r="G37">
        <v>131.25</v>
      </c>
      <c r="H37">
        <v>108.880505</v>
      </c>
      <c r="I37">
        <v>3011.2499600000001</v>
      </c>
      <c r="J37" s="1">
        <v>1.89582574E-25</v>
      </c>
      <c r="K37">
        <v>3.6343848900000002</v>
      </c>
      <c r="L37">
        <v>49722.985200000003</v>
      </c>
      <c r="M37">
        <v>131.25</v>
      </c>
      <c r="N37">
        <v>112.5</v>
      </c>
      <c r="O37">
        <v>49756.25</v>
      </c>
      <c r="P37">
        <v>50000</v>
      </c>
      <c r="Q37">
        <v>3251.3804599999999</v>
      </c>
      <c r="R37">
        <v>49726.619500000001</v>
      </c>
      <c r="S37" s="3">
        <f t="shared" si="1"/>
        <v>100</v>
      </c>
      <c r="T37" s="3">
        <f t="shared" si="1"/>
        <v>96.7826711111111</v>
      </c>
    </row>
    <row r="38" spans="1:20" x14ac:dyDescent="0.3">
      <c r="A38">
        <v>35</v>
      </c>
      <c r="B38" t="s">
        <v>9</v>
      </c>
      <c r="D38">
        <v>5.3</v>
      </c>
      <c r="E38">
        <v>166.493326</v>
      </c>
      <c r="F38">
        <v>162.778989</v>
      </c>
      <c r="G38">
        <v>131.25</v>
      </c>
      <c r="H38">
        <v>109.57646200000001</v>
      </c>
      <c r="I38">
        <v>3205.11465</v>
      </c>
      <c r="J38" s="1">
        <v>3.9526626399999999E-22</v>
      </c>
      <c r="K38">
        <v>2.9384280299999999</v>
      </c>
      <c r="L38">
        <v>49529.120499999997</v>
      </c>
      <c r="M38">
        <v>131.25</v>
      </c>
      <c r="N38">
        <v>112.5</v>
      </c>
      <c r="O38">
        <v>49756.25</v>
      </c>
      <c r="P38">
        <v>50000</v>
      </c>
      <c r="Q38">
        <v>3445.9411100000002</v>
      </c>
      <c r="R38">
        <v>49532.058900000004</v>
      </c>
      <c r="S38" s="3">
        <f t="shared" si="1"/>
        <v>100</v>
      </c>
      <c r="T38" s="3">
        <f t="shared" si="1"/>
        <v>97.401299555555568</v>
      </c>
    </row>
    <row r="39" spans="1:20" x14ac:dyDescent="0.3">
      <c r="A39">
        <v>36</v>
      </c>
      <c r="B39" t="s">
        <v>9</v>
      </c>
      <c r="D39">
        <v>5.4</v>
      </c>
      <c r="E39">
        <v>166.49643399999999</v>
      </c>
      <c r="F39">
        <v>162.90975900000001</v>
      </c>
      <c r="G39">
        <v>131.25</v>
      </c>
      <c r="H39">
        <v>110.139582</v>
      </c>
      <c r="I39">
        <v>3399.24782</v>
      </c>
      <c r="J39" s="1">
        <v>6.80730944E-21</v>
      </c>
      <c r="K39">
        <v>2.3753083899999998</v>
      </c>
      <c r="L39">
        <v>49334.987300000001</v>
      </c>
      <c r="M39">
        <v>131.25</v>
      </c>
      <c r="N39">
        <v>112.5</v>
      </c>
      <c r="O39">
        <v>49756.25</v>
      </c>
      <c r="P39">
        <v>50000</v>
      </c>
      <c r="Q39">
        <v>3640.6374000000001</v>
      </c>
      <c r="R39">
        <v>49337.3626</v>
      </c>
      <c r="S39" s="3">
        <f t="shared" si="1"/>
        <v>100</v>
      </c>
      <c r="T39" s="3">
        <f t="shared" si="1"/>
        <v>97.901850666666675</v>
      </c>
    </row>
    <row r="40" spans="1:20" x14ac:dyDescent="0.3">
      <c r="A40">
        <v>37</v>
      </c>
      <c r="B40" t="s">
        <v>9</v>
      </c>
      <c r="D40">
        <v>5.5</v>
      </c>
      <c r="E40">
        <v>166.498954</v>
      </c>
      <c r="F40">
        <v>163.02764500000001</v>
      </c>
      <c r="G40">
        <v>131.25</v>
      </c>
      <c r="H40">
        <v>110.594449</v>
      </c>
      <c r="I40">
        <v>3593.60691</v>
      </c>
      <c r="J40" s="1">
        <v>7.8079549000000004E-22</v>
      </c>
      <c r="K40">
        <v>1.9204413300000001</v>
      </c>
      <c r="L40">
        <v>49140.628199999999</v>
      </c>
      <c r="M40">
        <v>131.25</v>
      </c>
      <c r="N40">
        <v>112.5</v>
      </c>
      <c r="O40">
        <v>49756.25</v>
      </c>
      <c r="P40">
        <v>50000</v>
      </c>
      <c r="Q40">
        <v>3835.4513499999998</v>
      </c>
      <c r="R40">
        <v>49142.548600000002</v>
      </c>
      <c r="S40" s="3">
        <f t="shared" si="1"/>
        <v>100</v>
      </c>
      <c r="T40" s="3">
        <f t="shared" si="1"/>
        <v>98.306176888888899</v>
      </c>
    </row>
    <row r="41" spans="1:20" x14ac:dyDescent="0.3">
      <c r="A41">
        <v>38</v>
      </c>
      <c r="B41" t="s">
        <v>9</v>
      </c>
      <c r="D41">
        <v>5.6</v>
      </c>
      <c r="E41">
        <v>166.50099499999999</v>
      </c>
      <c r="F41">
        <v>163.13436999999999</v>
      </c>
      <c r="G41">
        <v>131.25</v>
      </c>
      <c r="H41">
        <v>110.961471</v>
      </c>
      <c r="I41">
        <v>3788.1562699999999</v>
      </c>
      <c r="J41" s="1">
        <v>3.7480118100000001E-21</v>
      </c>
      <c r="K41">
        <v>1.55341895</v>
      </c>
      <c r="L41">
        <v>48946.078800000003</v>
      </c>
      <c r="M41">
        <v>131.25</v>
      </c>
      <c r="N41">
        <v>112.5</v>
      </c>
      <c r="O41">
        <v>49756.25</v>
      </c>
      <c r="P41">
        <v>50000</v>
      </c>
      <c r="Q41">
        <v>4030.3677400000001</v>
      </c>
      <c r="R41">
        <v>48947.632299999997</v>
      </c>
      <c r="S41" s="3">
        <f t="shared" si="1"/>
        <v>100</v>
      </c>
      <c r="T41" s="3">
        <f t="shared" si="1"/>
        <v>98.632418666666666</v>
      </c>
    </row>
    <row r="42" spans="1:20" x14ac:dyDescent="0.3">
      <c r="A42">
        <v>39</v>
      </c>
      <c r="B42" t="s">
        <v>9</v>
      </c>
      <c r="D42">
        <v>5.7</v>
      </c>
      <c r="E42">
        <v>166.50264799999999</v>
      </c>
      <c r="F42">
        <v>163.23136700000001</v>
      </c>
      <c r="G42">
        <v>131.25</v>
      </c>
      <c r="H42">
        <v>111.25743799999999</v>
      </c>
      <c r="I42">
        <v>3982.86618</v>
      </c>
      <c r="J42" s="1">
        <v>3.7360007799999999E-24</v>
      </c>
      <c r="K42">
        <v>1.2574518299999999</v>
      </c>
      <c r="L42">
        <v>48751.368900000001</v>
      </c>
      <c r="M42">
        <v>131.25</v>
      </c>
      <c r="N42">
        <v>112.5</v>
      </c>
      <c r="O42">
        <v>49756.25</v>
      </c>
      <c r="P42">
        <v>50000</v>
      </c>
      <c r="Q42">
        <v>4225.3736200000003</v>
      </c>
      <c r="R42">
        <v>48752.626400000001</v>
      </c>
      <c r="S42" s="3">
        <f t="shared" si="1"/>
        <v>100</v>
      </c>
      <c r="T42" s="3">
        <f t="shared" si="1"/>
        <v>98.895500444444451</v>
      </c>
    </row>
    <row r="43" spans="1:20" x14ac:dyDescent="0.3">
      <c r="A43">
        <v>40</v>
      </c>
      <c r="B43" t="s">
        <v>9</v>
      </c>
      <c r="D43">
        <v>5.8</v>
      </c>
      <c r="E43">
        <v>166.503985</v>
      </c>
      <c r="F43">
        <v>163.31984499999999</v>
      </c>
      <c r="G43">
        <v>131.25</v>
      </c>
      <c r="H43">
        <v>111.496066</v>
      </c>
      <c r="I43">
        <v>4177.7119199999997</v>
      </c>
      <c r="J43" s="1">
        <v>3.7238711800000001E-27</v>
      </c>
      <c r="K43">
        <v>1.01882436</v>
      </c>
      <c r="L43">
        <v>48556.523200000003</v>
      </c>
      <c r="M43">
        <v>131.25</v>
      </c>
      <c r="N43">
        <v>112.5</v>
      </c>
      <c r="O43">
        <v>49756.25</v>
      </c>
      <c r="P43">
        <v>50000</v>
      </c>
      <c r="Q43">
        <v>4420.4579899999999</v>
      </c>
      <c r="R43">
        <v>48557.542000000001</v>
      </c>
      <c r="S43" s="3">
        <f t="shared" si="1"/>
        <v>100</v>
      </c>
      <c r="T43" s="3">
        <f t="shared" si="1"/>
        <v>99.10761422222221</v>
      </c>
    </row>
    <row r="44" spans="1:20" x14ac:dyDescent="0.3">
      <c r="A44">
        <v>41</v>
      </c>
      <c r="B44" t="s">
        <v>9</v>
      </c>
      <c r="D44">
        <v>5.9</v>
      </c>
      <c r="E44">
        <v>166.50506799999999</v>
      </c>
      <c r="F44">
        <v>163.400823</v>
      </c>
      <c r="G44">
        <v>131.25</v>
      </c>
      <c r="H44">
        <v>111.688497</v>
      </c>
      <c r="I44">
        <v>4372.6729400000004</v>
      </c>
      <c r="J44" s="1">
        <v>9.1493593100000004E-32</v>
      </c>
      <c r="K44">
        <v>0.82639282199999997</v>
      </c>
      <c r="L44">
        <v>48361.5622</v>
      </c>
      <c r="M44">
        <v>131.25</v>
      </c>
      <c r="N44">
        <v>112.5</v>
      </c>
      <c r="O44">
        <v>49756.25</v>
      </c>
      <c r="P44">
        <v>50000</v>
      </c>
      <c r="Q44">
        <v>4615.6114399999997</v>
      </c>
      <c r="R44">
        <v>48362.388599999998</v>
      </c>
      <c r="S44" s="3">
        <f t="shared" si="1"/>
        <v>100</v>
      </c>
      <c r="T44" s="3">
        <f t="shared" si="1"/>
        <v>99.278664000000006</v>
      </c>
    </row>
    <row r="45" spans="1:20" x14ac:dyDescent="0.3">
      <c r="A45">
        <v>42</v>
      </c>
      <c r="B45" t="s">
        <v>9</v>
      </c>
      <c r="D45">
        <v>6</v>
      </c>
      <c r="E45">
        <v>166.505944</v>
      </c>
      <c r="F45">
        <v>163.47517300000001</v>
      </c>
      <c r="G45">
        <v>131.25</v>
      </c>
      <c r="H45">
        <v>111.843749</v>
      </c>
      <c r="I45">
        <v>4567.7322000000004</v>
      </c>
      <c r="J45" s="1">
        <v>9.1124496800000005E-29</v>
      </c>
      <c r="K45">
        <v>0.67114059800000003</v>
      </c>
      <c r="L45">
        <v>48166.502899999999</v>
      </c>
      <c r="M45">
        <v>131.25</v>
      </c>
      <c r="N45">
        <v>112.5</v>
      </c>
      <c r="O45">
        <v>49756.25</v>
      </c>
      <c r="P45">
        <v>50000</v>
      </c>
      <c r="Q45">
        <v>4810.8259500000004</v>
      </c>
      <c r="R45">
        <v>48167.173999999999</v>
      </c>
      <c r="S45" s="3">
        <f t="shared" si="1"/>
        <v>100</v>
      </c>
      <c r="T45" s="3">
        <f t="shared" si="1"/>
        <v>99.41666577777778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69019-4A9B-4AEC-A993-F5B874770362}">
  <dimension ref="A3:T45"/>
  <sheetViews>
    <sheetView workbookViewId="0">
      <selection activeCell="F19" sqref="F19"/>
    </sheetView>
  </sheetViews>
  <sheetFormatPr defaultRowHeight="14.4" x14ac:dyDescent="0.3"/>
  <cols>
    <col min="1" max="1" width="9.6640625" bestFit="1" customWidth="1"/>
    <col min="2" max="2" width="6.44140625" bestFit="1" customWidth="1"/>
    <col min="3" max="3" width="11.33203125" bestFit="1" customWidth="1"/>
    <col min="4" max="12" width="11" bestFit="1" customWidth="1"/>
    <col min="13" max="13" width="11.33203125" customWidth="1"/>
    <col min="14" max="15" width="11" bestFit="1" customWidth="1"/>
    <col min="19" max="19" width="12" bestFit="1" customWidth="1"/>
  </cols>
  <sheetData>
    <row r="3" spans="1:20" ht="28.8" x14ac:dyDescent="0.3">
      <c r="A3" t="s">
        <v>0</v>
      </c>
      <c r="B3" t="s">
        <v>1</v>
      </c>
      <c r="C3" t="s">
        <v>2</v>
      </c>
      <c r="D3" s="2" t="s">
        <v>3</v>
      </c>
      <c r="E3" s="2" t="s">
        <v>4</v>
      </c>
      <c r="F3" s="2" t="s">
        <v>5</v>
      </c>
      <c r="G3" s="2" t="s">
        <v>10</v>
      </c>
      <c r="H3" s="2" t="s">
        <v>11</v>
      </c>
      <c r="I3" s="2" t="s">
        <v>15</v>
      </c>
      <c r="J3" s="2" t="s">
        <v>12</v>
      </c>
      <c r="K3" s="2" t="s">
        <v>13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6</v>
      </c>
      <c r="Q3" s="2" t="s">
        <v>7</v>
      </c>
      <c r="R3" s="2" t="s">
        <v>8</v>
      </c>
      <c r="S3" s="2" t="s">
        <v>14</v>
      </c>
      <c r="T3" s="2" t="s">
        <v>20</v>
      </c>
    </row>
    <row r="4" spans="1:20" x14ac:dyDescent="0.3">
      <c r="A4">
        <v>1</v>
      </c>
      <c r="B4" t="s">
        <v>62</v>
      </c>
      <c r="D4">
        <v>0.5</v>
      </c>
      <c r="E4">
        <v>140.870113</v>
      </c>
      <c r="F4">
        <v>263.39872200000002</v>
      </c>
      <c r="G4" s="1">
        <v>1.1788162100000001E-14</v>
      </c>
      <c r="H4" s="1">
        <v>53.205214400000003</v>
      </c>
      <c r="I4" s="1">
        <v>1.8852090000000001E-3</v>
      </c>
      <c r="J4">
        <v>216.156126</v>
      </c>
      <c r="K4">
        <v>102.806847</v>
      </c>
      <c r="L4">
        <v>54290.177000000003</v>
      </c>
      <c r="M4">
        <v>131.25</v>
      </c>
      <c r="N4">
        <v>112.5</v>
      </c>
      <c r="O4">
        <v>49756.25</v>
      </c>
      <c r="P4">
        <v>50000</v>
      </c>
      <c r="Q4">
        <v>53.207099599999999</v>
      </c>
      <c r="R4">
        <v>54609.14</v>
      </c>
      <c r="S4" s="3">
        <f>100*G4/M4</f>
        <v>8.9814568380952397E-15</v>
      </c>
      <c r="T4" s="3">
        <f>100*H4/N4</f>
        <v>47.293523911111116</v>
      </c>
    </row>
    <row r="5" spans="1:20" x14ac:dyDescent="0.3">
      <c r="A5">
        <v>2</v>
      </c>
      <c r="B5" t="s">
        <v>9</v>
      </c>
      <c r="D5">
        <v>2</v>
      </c>
      <c r="E5">
        <v>158.41283999999999</v>
      </c>
      <c r="F5">
        <v>60.1701014</v>
      </c>
      <c r="G5">
        <v>54.9849715</v>
      </c>
      <c r="H5" s="1">
        <v>9.2076627900000002E-4</v>
      </c>
      <c r="I5">
        <v>1.68568849</v>
      </c>
      <c r="J5" s="1">
        <v>76.265028000000001</v>
      </c>
      <c r="K5">
        <v>112.513969</v>
      </c>
      <c r="L5">
        <v>52732.549400000004</v>
      </c>
      <c r="M5">
        <v>131.25</v>
      </c>
      <c r="N5">
        <v>112.5</v>
      </c>
      <c r="O5">
        <v>49756.25</v>
      </c>
      <c r="P5">
        <v>50000</v>
      </c>
      <c r="Q5">
        <v>56.671580800000001</v>
      </c>
      <c r="R5">
        <v>52921.328399999999</v>
      </c>
      <c r="S5" s="3">
        <f t="shared" ref="S5:T20" si="0">100*G5/M5</f>
        <v>41.893311619047623</v>
      </c>
      <c r="T5" s="3">
        <f t="shared" si="0"/>
        <v>8.1845891466666662E-4</v>
      </c>
    </row>
    <row r="6" spans="1:20" x14ac:dyDescent="0.3">
      <c r="A6">
        <v>3</v>
      </c>
      <c r="B6" t="s">
        <v>9</v>
      </c>
      <c r="D6">
        <v>2.1</v>
      </c>
      <c r="E6">
        <v>160.025552</v>
      </c>
      <c r="F6">
        <v>60.221606199999997</v>
      </c>
      <c r="G6">
        <v>70.195729099999994</v>
      </c>
      <c r="H6" s="1">
        <v>1.2220476300000001E-3</v>
      </c>
      <c r="I6">
        <v>2.157975</v>
      </c>
      <c r="J6" s="1">
        <v>61.054271</v>
      </c>
      <c r="K6">
        <v>112.513668</v>
      </c>
      <c r="L6">
        <v>52732.077100000002</v>
      </c>
      <c r="M6">
        <v>131.25</v>
      </c>
      <c r="N6">
        <v>112.5</v>
      </c>
      <c r="O6">
        <v>49756.25</v>
      </c>
      <c r="P6">
        <v>50000</v>
      </c>
      <c r="Q6">
        <v>72.354926199999994</v>
      </c>
      <c r="R6">
        <v>52905.645100000002</v>
      </c>
      <c r="S6" s="3">
        <f t="shared" si="0"/>
        <v>53.482460266666656</v>
      </c>
      <c r="T6" s="3">
        <f t="shared" si="0"/>
        <v>1.0862645600000001E-3</v>
      </c>
    </row>
    <row r="7" spans="1:20" x14ac:dyDescent="0.3">
      <c r="A7">
        <v>4</v>
      </c>
      <c r="B7" t="s">
        <v>9</v>
      </c>
      <c r="D7">
        <v>2.2000000000000002</v>
      </c>
      <c r="E7">
        <v>161.63480300000001</v>
      </c>
      <c r="F7">
        <v>60.2730113</v>
      </c>
      <c r="G7">
        <v>86.002767300000002</v>
      </c>
      <c r="H7" s="1">
        <v>1.5662717599999999E-3</v>
      </c>
      <c r="I7">
        <v>2.6514462000000001</v>
      </c>
      <c r="J7" s="1">
        <v>45.2472329</v>
      </c>
      <c r="K7">
        <v>112.513324</v>
      </c>
      <c r="L7">
        <v>52731.583700000003</v>
      </c>
      <c r="M7">
        <v>131.25</v>
      </c>
      <c r="N7">
        <v>112.5</v>
      </c>
      <c r="O7">
        <v>49756.25</v>
      </c>
      <c r="P7">
        <v>50000</v>
      </c>
      <c r="Q7">
        <v>88.655779699999997</v>
      </c>
      <c r="R7">
        <v>52889.3442</v>
      </c>
      <c r="S7" s="3">
        <f t="shared" si="0"/>
        <v>65.525917942857134</v>
      </c>
      <c r="T7" s="3">
        <f t="shared" si="0"/>
        <v>1.3922415644444445E-3</v>
      </c>
    </row>
    <row r="8" spans="1:20" x14ac:dyDescent="0.3">
      <c r="A8">
        <v>5</v>
      </c>
      <c r="B8" t="s">
        <v>9</v>
      </c>
      <c r="D8">
        <v>2.2999999999999998</v>
      </c>
      <c r="E8">
        <v>163.24030099999999</v>
      </c>
      <c r="F8">
        <v>60.326960499999998</v>
      </c>
      <c r="G8">
        <v>102.417551</v>
      </c>
      <c r="H8" s="1">
        <v>1.9646178500000002E-3</v>
      </c>
      <c r="I8">
        <v>3.1669101400000002</v>
      </c>
      <c r="J8" s="1">
        <v>28.8324487</v>
      </c>
      <c r="K8">
        <v>112.512925</v>
      </c>
      <c r="L8">
        <v>52731.068200000002</v>
      </c>
      <c r="M8">
        <v>131.25</v>
      </c>
      <c r="N8">
        <v>112.5</v>
      </c>
      <c r="O8">
        <v>49756.25</v>
      </c>
      <c r="P8">
        <v>50000</v>
      </c>
      <c r="Q8">
        <v>105.586426</v>
      </c>
      <c r="R8">
        <v>52872.4136</v>
      </c>
      <c r="S8" s="3">
        <f t="shared" si="0"/>
        <v>78.032419809523816</v>
      </c>
      <c r="T8" s="3">
        <f t="shared" si="0"/>
        <v>1.7463269777777781E-3</v>
      </c>
    </row>
    <row r="9" spans="1:20" x14ac:dyDescent="0.3">
      <c r="A9">
        <v>6</v>
      </c>
      <c r="B9" t="s">
        <v>9</v>
      </c>
      <c r="D9">
        <v>2.4</v>
      </c>
      <c r="E9">
        <v>164.84225599999999</v>
      </c>
      <c r="F9">
        <v>60.384111300000001</v>
      </c>
      <c r="G9">
        <v>119.45187</v>
      </c>
      <c r="H9">
        <v>2.4313586099999999E-3</v>
      </c>
      <c r="I9">
        <v>3.7051591500000001</v>
      </c>
      <c r="J9" s="1">
        <v>11.798129899999999</v>
      </c>
      <c r="K9">
        <v>112.51245900000001</v>
      </c>
      <c r="L9">
        <v>52730.53</v>
      </c>
      <c r="M9">
        <v>131.25</v>
      </c>
      <c r="N9">
        <v>112.5</v>
      </c>
      <c r="O9">
        <v>49756.25</v>
      </c>
      <c r="P9">
        <v>50000</v>
      </c>
      <c r="Q9">
        <v>123.15946099999999</v>
      </c>
      <c r="R9">
        <v>52854.840499999998</v>
      </c>
      <c r="S9" s="3">
        <f t="shared" si="0"/>
        <v>91.010948571428571</v>
      </c>
      <c r="T9" s="3">
        <f t="shared" si="0"/>
        <v>2.1612076533333332E-3</v>
      </c>
    </row>
    <row r="10" spans="1:20" x14ac:dyDescent="0.3">
      <c r="A10">
        <v>7</v>
      </c>
      <c r="B10" t="s">
        <v>9</v>
      </c>
      <c r="D10">
        <v>2.5</v>
      </c>
      <c r="E10">
        <v>165.91824</v>
      </c>
      <c r="F10">
        <v>60.853878000000002</v>
      </c>
      <c r="G10">
        <v>131.250001</v>
      </c>
      <c r="H10">
        <v>0.34451563699999999</v>
      </c>
      <c r="I10">
        <v>5.8245482600000003</v>
      </c>
      <c r="J10" s="1">
        <v>5.1475881499999998E-18</v>
      </c>
      <c r="K10">
        <v>112.170374</v>
      </c>
      <c r="L10">
        <v>52728.410600000003</v>
      </c>
      <c r="M10">
        <v>131.25</v>
      </c>
      <c r="N10">
        <v>112.5</v>
      </c>
      <c r="O10">
        <v>49756.25</v>
      </c>
      <c r="P10">
        <v>50000</v>
      </c>
      <c r="Q10">
        <v>137.41906499999999</v>
      </c>
      <c r="R10">
        <v>52840.580900000001</v>
      </c>
      <c r="S10" s="3">
        <f t="shared" si="0"/>
        <v>100.00000076190476</v>
      </c>
      <c r="T10" s="3">
        <f t="shared" si="0"/>
        <v>0.30623612177777781</v>
      </c>
    </row>
    <row r="11" spans="1:20" x14ac:dyDescent="0.3">
      <c r="A11">
        <v>8</v>
      </c>
      <c r="B11" t="s">
        <v>9</v>
      </c>
      <c r="D11">
        <v>2.6</v>
      </c>
      <c r="E11">
        <v>165.93483599999999</v>
      </c>
      <c r="F11">
        <v>61.726710300000001</v>
      </c>
      <c r="G11">
        <v>131.24999099999999</v>
      </c>
      <c r="H11">
        <v>3.4948334299999999</v>
      </c>
      <c r="I11">
        <v>8.0291118099999998</v>
      </c>
      <c r="J11" s="1">
        <v>5.4573817800000001E-17</v>
      </c>
      <c r="K11">
        <v>109.02005699999999</v>
      </c>
      <c r="L11">
        <v>52726.205999999998</v>
      </c>
      <c r="M11">
        <v>131.25</v>
      </c>
      <c r="N11">
        <v>112.5</v>
      </c>
      <c r="O11">
        <v>49756.25</v>
      </c>
      <c r="P11">
        <v>50000</v>
      </c>
      <c r="Q11">
        <v>142.77393599999999</v>
      </c>
      <c r="R11">
        <v>52835.2261</v>
      </c>
      <c r="S11" s="3">
        <f t="shared" si="0"/>
        <v>99.999993142857136</v>
      </c>
      <c r="T11" s="3">
        <f t="shared" si="0"/>
        <v>3.1065186044444442</v>
      </c>
    </row>
    <row r="12" spans="1:20" x14ac:dyDescent="0.3">
      <c r="A12">
        <v>9</v>
      </c>
      <c r="B12" t="s">
        <v>9</v>
      </c>
      <c r="D12">
        <v>2.7</v>
      </c>
      <c r="E12">
        <v>165.96212600000001</v>
      </c>
      <c r="F12">
        <v>63.081242199999998</v>
      </c>
      <c r="G12">
        <v>131.24999199999999</v>
      </c>
      <c r="H12">
        <v>8.6708251900000004</v>
      </c>
      <c r="I12">
        <v>9.6889789799999999</v>
      </c>
      <c r="J12" s="1">
        <v>2.1306139299999999E-17</v>
      </c>
      <c r="K12">
        <v>103.844065</v>
      </c>
      <c r="L12">
        <v>52724.5461</v>
      </c>
      <c r="M12">
        <v>131.25</v>
      </c>
      <c r="N12">
        <v>112.5</v>
      </c>
      <c r="O12">
        <v>49756.25</v>
      </c>
      <c r="P12">
        <v>50000</v>
      </c>
      <c r="Q12">
        <v>149.60979699999999</v>
      </c>
      <c r="R12">
        <v>52828.390200000002</v>
      </c>
      <c r="S12" s="3">
        <f t="shared" si="0"/>
        <v>99.999993904761894</v>
      </c>
      <c r="T12" s="3">
        <f t="shared" si="0"/>
        <v>7.7074001688888893</v>
      </c>
    </row>
    <row r="13" spans="1:20" x14ac:dyDescent="0.3">
      <c r="A13">
        <v>10</v>
      </c>
      <c r="B13" t="s">
        <v>9</v>
      </c>
      <c r="D13">
        <v>2.8</v>
      </c>
      <c r="E13">
        <v>165.99292</v>
      </c>
      <c r="F13">
        <v>65.907590499999998</v>
      </c>
      <c r="G13">
        <v>131.24999700000001</v>
      </c>
      <c r="H13">
        <v>14.5117961</v>
      </c>
      <c r="I13">
        <v>11.988585799999999</v>
      </c>
      <c r="J13" s="1">
        <v>9.7327971700000006E-18</v>
      </c>
      <c r="K13">
        <v>98.003094200000007</v>
      </c>
      <c r="L13">
        <v>52722.246500000001</v>
      </c>
      <c r="M13">
        <v>131.25</v>
      </c>
      <c r="N13">
        <v>112.5</v>
      </c>
      <c r="O13">
        <v>49756.25</v>
      </c>
      <c r="P13">
        <v>50000</v>
      </c>
      <c r="Q13">
        <v>157.75037900000001</v>
      </c>
      <c r="R13">
        <v>52820.249600000003</v>
      </c>
      <c r="S13" s="3">
        <f t="shared" si="0"/>
        <v>99.999997714285712</v>
      </c>
      <c r="T13" s="3">
        <f t="shared" si="0"/>
        <v>12.89937431111111</v>
      </c>
    </row>
    <row r="14" spans="1:20" x14ac:dyDescent="0.3">
      <c r="A14">
        <v>11</v>
      </c>
      <c r="B14" t="s">
        <v>9</v>
      </c>
      <c r="D14">
        <v>2.9</v>
      </c>
      <c r="E14">
        <v>166.02466000000001</v>
      </c>
      <c r="F14">
        <v>71.670741300000003</v>
      </c>
      <c r="G14">
        <v>131.249953</v>
      </c>
      <c r="H14">
        <v>20.534453500000001</v>
      </c>
      <c r="I14">
        <v>15.7127768</v>
      </c>
      <c r="J14" s="1">
        <v>4.7802490199999999E-18</v>
      </c>
      <c r="K14">
        <v>91.980440999999999</v>
      </c>
      <c r="L14">
        <v>52718.522400000002</v>
      </c>
      <c r="M14">
        <v>131.25</v>
      </c>
      <c r="N14">
        <v>112.5</v>
      </c>
      <c r="O14">
        <v>49756.25</v>
      </c>
      <c r="P14">
        <v>50000</v>
      </c>
      <c r="Q14">
        <v>167.497184</v>
      </c>
      <c r="R14">
        <v>52810.502800000002</v>
      </c>
      <c r="S14" s="3">
        <f t="shared" si="0"/>
        <v>99.999964190476192</v>
      </c>
      <c r="T14" s="3">
        <f t="shared" si="0"/>
        <v>18.252847555555554</v>
      </c>
    </row>
    <row r="15" spans="1:20" x14ac:dyDescent="0.3">
      <c r="A15">
        <v>12</v>
      </c>
      <c r="B15" t="s">
        <v>9</v>
      </c>
      <c r="D15">
        <v>3</v>
      </c>
      <c r="E15">
        <v>166.05658</v>
      </c>
      <c r="F15">
        <v>82.244286500000001</v>
      </c>
      <c r="G15">
        <v>131.249987</v>
      </c>
      <c r="H15">
        <v>26.595552600000001</v>
      </c>
      <c r="I15">
        <v>22.508659600000001</v>
      </c>
      <c r="J15" s="1">
        <v>2.4823399500000002E-18</v>
      </c>
      <c r="K15">
        <v>85.919336900000005</v>
      </c>
      <c r="L15">
        <v>52711.726499999997</v>
      </c>
      <c r="M15">
        <v>131.25</v>
      </c>
      <c r="N15">
        <v>112.5</v>
      </c>
      <c r="O15">
        <v>49756.25</v>
      </c>
      <c r="P15">
        <v>50000</v>
      </c>
      <c r="Q15">
        <v>180.35419899999999</v>
      </c>
      <c r="R15">
        <v>52797.645799999998</v>
      </c>
      <c r="S15" s="3">
        <f t="shared" si="0"/>
        <v>99.99999009523809</v>
      </c>
      <c r="T15" s="3">
        <f t="shared" si="0"/>
        <v>23.6404912</v>
      </c>
    </row>
    <row r="16" spans="1:20" x14ac:dyDescent="0.3">
      <c r="A16">
        <v>13</v>
      </c>
      <c r="B16" t="s">
        <v>9</v>
      </c>
      <c r="D16">
        <v>3.1</v>
      </c>
      <c r="E16">
        <v>166.088446</v>
      </c>
      <c r="F16">
        <v>98.325247899999994</v>
      </c>
      <c r="G16">
        <v>131.249987</v>
      </c>
      <c r="H16">
        <v>32.656220500000003</v>
      </c>
      <c r="I16">
        <v>36.621085800000003</v>
      </c>
      <c r="J16" s="1">
        <v>1.3365474799999999E-18</v>
      </c>
      <c r="K16">
        <v>79.858667600000004</v>
      </c>
      <c r="L16">
        <v>52697.614000000001</v>
      </c>
      <c r="M16">
        <v>131.25</v>
      </c>
      <c r="N16">
        <v>112.5</v>
      </c>
      <c r="O16">
        <v>49756.25</v>
      </c>
      <c r="P16">
        <v>50000</v>
      </c>
      <c r="Q16">
        <v>200.52729299999999</v>
      </c>
      <c r="R16">
        <v>52777.472699999998</v>
      </c>
      <c r="S16" s="3">
        <f t="shared" si="0"/>
        <v>99.99999009523809</v>
      </c>
      <c r="T16" s="3">
        <f t="shared" si="0"/>
        <v>29.027751555555557</v>
      </c>
    </row>
    <row r="17" spans="1:20" x14ac:dyDescent="0.3">
      <c r="A17">
        <v>14</v>
      </c>
      <c r="B17" t="s">
        <v>9</v>
      </c>
      <c r="D17">
        <v>3.2</v>
      </c>
      <c r="E17">
        <v>166.120317</v>
      </c>
      <c r="F17">
        <v>118.70204</v>
      </c>
      <c r="G17">
        <v>131.249988</v>
      </c>
      <c r="H17">
        <v>38.742786299999999</v>
      </c>
      <c r="I17">
        <v>70.830074600000003</v>
      </c>
      <c r="J17" s="1">
        <v>7.4829682700000002E-19</v>
      </c>
      <c r="K17">
        <v>73.772106399999998</v>
      </c>
      <c r="L17">
        <v>52663.404999999999</v>
      </c>
      <c r="M17">
        <v>131.25</v>
      </c>
      <c r="N17">
        <v>112.5</v>
      </c>
      <c r="O17">
        <v>49756.25</v>
      </c>
      <c r="P17">
        <v>50000</v>
      </c>
      <c r="Q17">
        <v>240.82284899999999</v>
      </c>
      <c r="R17">
        <v>52737.177100000001</v>
      </c>
      <c r="S17" s="3">
        <f t="shared" si="0"/>
        <v>99.999990857142848</v>
      </c>
      <c r="T17" s="3">
        <f t="shared" si="0"/>
        <v>34.438032266666667</v>
      </c>
    </row>
    <row r="18" spans="1:20" x14ac:dyDescent="0.3">
      <c r="A18">
        <v>15</v>
      </c>
      <c r="B18" t="s">
        <v>9</v>
      </c>
      <c r="D18">
        <v>3.3</v>
      </c>
      <c r="E18">
        <v>166.15258900000001</v>
      </c>
      <c r="F18">
        <v>137.506542</v>
      </c>
      <c r="G18">
        <v>131.25</v>
      </c>
      <c r="H18">
        <v>44.960867700000001</v>
      </c>
      <c r="I18">
        <v>154.10732300000001</v>
      </c>
      <c r="J18" s="1">
        <v>9.4178799600000004E-19</v>
      </c>
      <c r="K18">
        <v>67.5540223</v>
      </c>
      <c r="L18">
        <v>52580.127800000002</v>
      </c>
      <c r="M18">
        <v>131.25</v>
      </c>
      <c r="N18">
        <v>112.5</v>
      </c>
      <c r="O18">
        <v>49756.25</v>
      </c>
      <c r="P18">
        <v>50000</v>
      </c>
      <c r="Q18">
        <v>330.31819100000001</v>
      </c>
      <c r="R18">
        <v>52647.681799999998</v>
      </c>
      <c r="S18" s="3">
        <f t="shared" si="0"/>
        <v>100</v>
      </c>
      <c r="T18" s="3">
        <f t="shared" si="0"/>
        <v>39.965215733333331</v>
      </c>
    </row>
    <row r="19" spans="1:20" x14ac:dyDescent="0.3">
      <c r="A19">
        <v>16</v>
      </c>
      <c r="B19" t="s">
        <v>9</v>
      </c>
      <c r="D19">
        <v>3.4</v>
      </c>
      <c r="E19">
        <v>166.185227</v>
      </c>
      <c r="F19">
        <v>148.16742300000001</v>
      </c>
      <c r="G19">
        <v>131.25</v>
      </c>
      <c r="H19">
        <v>51.293625400000003</v>
      </c>
      <c r="I19">
        <v>292.843029</v>
      </c>
      <c r="J19" s="1">
        <v>1.09145204E-24</v>
      </c>
      <c r="K19">
        <v>61.221264499999997</v>
      </c>
      <c r="L19">
        <v>52441.392099999997</v>
      </c>
      <c r="M19">
        <v>131.25</v>
      </c>
      <c r="N19">
        <v>112.5</v>
      </c>
      <c r="O19">
        <v>49756.25</v>
      </c>
      <c r="P19">
        <v>50000</v>
      </c>
      <c r="Q19">
        <v>475.38665400000002</v>
      </c>
      <c r="R19">
        <v>52502.613299999997</v>
      </c>
      <c r="S19" s="3">
        <f t="shared" si="0"/>
        <v>100</v>
      </c>
      <c r="T19" s="3">
        <f t="shared" si="0"/>
        <v>45.594333688888888</v>
      </c>
    </row>
    <row r="20" spans="1:20" x14ac:dyDescent="0.3">
      <c r="A20">
        <v>17</v>
      </c>
      <c r="B20" t="s">
        <v>9</v>
      </c>
      <c r="D20">
        <v>3.5</v>
      </c>
      <c r="E20">
        <v>166.217478</v>
      </c>
      <c r="F20">
        <v>153.29718299999999</v>
      </c>
      <c r="G20">
        <v>131.25</v>
      </c>
      <c r="H20">
        <v>57.549496300000001</v>
      </c>
      <c r="I20">
        <v>458.542552</v>
      </c>
      <c r="J20" s="1">
        <v>8.2201955099999997E-20</v>
      </c>
      <c r="K20">
        <v>54.9653937</v>
      </c>
      <c r="L20">
        <v>52275.692600000002</v>
      </c>
      <c r="M20">
        <v>131.25</v>
      </c>
      <c r="N20">
        <v>112.5</v>
      </c>
      <c r="O20">
        <v>49756.25</v>
      </c>
      <c r="P20">
        <v>50000</v>
      </c>
      <c r="Q20">
        <v>647.34204799999998</v>
      </c>
      <c r="R20">
        <v>52330.658000000003</v>
      </c>
      <c r="S20" s="3">
        <f t="shared" si="0"/>
        <v>100</v>
      </c>
      <c r="T20" s="3">
        <f t="shared" si="0"/>
        <v>51.15510782222222</v>
      </c>
    </row>
    <row r="21" spans="1:20" x14ac:dyDescent="0.3">
      <c r="A21">
        <v>18</v>
      </c>
      <c r="B21" t="s">
        <v>9</v>
      </c>
      <c r="D21">
        <v>3.6</v>
      </c>
      <c r="E21">
        <v>166.24876900000001</v>
      </c>
      <c r="F21">
        <v>156.05382</v>
      </c>
      <c r="G21">
        <v>131.25</v>
      </c>
      <c r="H21">
        <v>63.597215900000002</v>
      </c>
      <c r="I21">
        <v>634.687637</v>
      </c>
      <c r="J21" s="1">
        <v>8.9241191899999997E-20</v>
      </c>
      <c r="K21">
        <v>48.917674099999999</v>
      </c>
      <c r="L21">
        <v>52099.547500000001</v>
      </c>
      <c r="M21">
        <v>131.25</v>
      </c>
      <c r="N21">
        <v>112.5</v>
      </c>
      <c r="O21">
        <v>49756.25</v>
      </c>
      <c r="P21">
        <v>50000</v>
      </c>
      <c r="Q21">
        <v>829.534853</v>
      </c>
      <c r="R21">
        <v>52148.465100000001</v>
      </c>
      <c r="S21" s="3">
        <f t="shared" ref="S21:T46" si="1">100*G21/M21</f>
        <v>100</v>
      </c>
      <c r="T21" s="3">
        <f t="shared" si="1"/>
        <v>56.530858577777778</v>
      </c>
    </row>
    <row r="22" spans="1:20" x14ac:dyDescent="0.3">
      <c r="A22">
        <v>19</v>
      </c>
      <c r="B22" t="s">
        <v>9</v>
      </c>
      <c r="D22">
        <v>3.7</v>
      </c>
      <c r="E22">
        <v>166.27871999999999</v>
      </c>
      <c r="F22">
        <v>157.73450299999999</v>
      </c>
      <c r="G22">
        <v>131.25</v>
      </c>
      <c r="H22">
        <v>69.359413000000004</v>
      </c>
      <c r="I22">
        <v>815.615362</v>
      </c>
      <c r="J22" s="1">
        <v>4.7158590800000003E-20</v>
      </c>
      <c r="K22">
        <v>43.155476999999998</v>
      </c>
      <c r="L22">
        <v>51918.619700000003</v>
      </c>
      <c r="M22">
        <v>131.25</v>
      </c>
      <c r="N22">
        <v>112.5</v>
      </c>
      <c r="O22">
        <v>49756.25</v>
      </c>
      <c r="P22">
        <v>50000</v>
      </c>
      <c r="Q22">
        <v>1016.22478</v>
      </c>
      <c r="R22">
        <v>51961.775199999996</v>
      </c>
      <c r="S22" s="3">
        <f t="shared" si="1"/>
        <v>100</v>
      </c>
      <c r="T22" s="3">
        <f t="shared" si="1"/>
        <v>61.652811555555559</v>
      </c>
    </row>
    <row r="23" spans="1:20" x14ac:dyDescent="0.3">
      <c r="A23">
        <v>20</v>
      </c>
      <c r="B23" t="s">
        <v>9</v>
      </c>
      <c r="D23">
        <v>3.8</v>
      </c>
      <c r="E23">
        <v>166.30702700000001</v>
      </c>
      <c r="F23">
        <v>158.861031</v>
      </c>
      <c r="G23">
        <v>131.24999700000001</v>
      </c>
      <c r="H23">
        <v>74.778678799999994</v>
      </c>
      <c r="I23">
        <v>999.23242600000003</v>
      </c>
      <c r="J23" s="1">
        <v>8.3766790299999996E-19</v>
      </c>
      <c r="K23">
        <v>37.736211500000003</v>
      </c>
      <c r="L23">
        <v>51735.002699999997</v>
      </c>
      <c r="M23">
        <v>131.25</v>
      </c>
      <c r="N23">
        <v>112.5</v>
      </c>
      <c r="O23">
        <v>49756.25</v>
      </c>
      <c r="P23">
        <v>50000</v>
      </c>
      <c r="Q23">
        <v>1205.2610999999999</v>
      </c>
      <c r="R23">
        <v>51772.738899999997</v>
      </c>
      <c r="S23" s="3">
        <f t="shared" si="1"/>
        <v>99.999997714285712</v>
      </c>
      <c r="T23" s="3">
        <f t="shared" si="1"/>
        <v>66.469936711111103</v>
      </c>
    </row>
    <row r="24" spans="1:20" x14ac:dyDescent="0.3">
      <c r="A24">
        <v>21</v>
      </c>
      <c r="B24" t="s">
        <v>9</v>
      </c>
      <c r="D24">
        <v>3.9</v>
      </c>
      <c r="E24">
        <v>166.33343199999999</v>
      </c>
      <c r="F24">
        <v>159.670423</v>
      </c>
      <c r="G24">
        <v>131.249999</v>
      </c>
      <c r="H24">
        <v>79.809257099999996</v>
      </c>
      <c r="I24">
        <v>1184.63708</v>
      </c>
      <c r="J24" s="1">
        <v>1.7051467300000001E-20</v>
      </c>
      <c r="K24">
        <v>32.705632999999999</v>
      </c>
      <c r="L24">
        <v>51549.597999999998</v>
      </c>
      <c r="M24">
        <v>131.25</v>
      </c>
      <c r="N24">
        <v>112.5</v>
      </c>
      <c r="O24">
        <v>49756.25</v>
      </c>
      <c r="P24">
        <v>50000</v>
      </c>
      <c r="Q24">
        <v>1395.69634</v>
      </c>
      <c r="R24">
        <v>51582.303699999997</v>
      </c>
      <c r="S24" s="3">
        <f t="shared" si="1"/>
        <v>99.999999238095242</v>
      </c>
      <c r="T24" s="3">
        <f t="shared" si="1"/>
        <v>70.94156186666666</v>
      </c>
    </row>
    <row r="25" spans="1:20" x14ac:dyDescent="0.3">
      <c r="A25">
        <v>22</v>
      </c>
      <c r="B25" t="s">
        <v>9</v>
      </c>
      <c r="D25">
        <v>4</v>
      </c>
      <c r="E25">
        <v>166.357731</v>
      </c>
      <c r="F25">
        <v>160.283186</v>
      </c>
      <c r="G25">
        <v>131.249999</v>
      </c>
      <c r="H25">
        <v>84.416659300000006</v>
      </c>
      <c r="I25">
        <v>1371.3932299999999</v>
      </c>
      <c r="J25" s="1">
        <v>4.0509001399999998E-19</v>
      </c>
      <c r="K25">
        <v>28.098230699999998</v>
      </c>
      <c r="L25">
        <v>51362.841899999999</v>
      </c>
      <c r="M25">
        <v>131.25</v>
      </c>
      <c r="N25">
        <v>112.5</v>
      </c>
      <c r="O25">
        <v>49756.25</v>
      </c>
      <c r="P25">
        <v>50000</v>
      </c>
      <c r="Q25">
        <v>1587.05989</v>
      </c>
      <c r="R25">
        <v>51390.9401</v>
      </c>
      <c r="S25" s="3">
        <f t="shared" si="1"/>
        <v>99.999999238095242</v>
      </c>
      <c r="T25" s="3">
        <f t="shared" si="1"/>
        <v>75.037030488888902</v>
      </c>
    </row>
    <row r="26" spans="1:20" x14ac:dyDescent="0.3">
      <c r="A26">
        <v>23</v>
      </c>
      <c r="B26" t="s">
        <v>9</v>
      </c>
      <c r="D26">
        <v>4.0999999999999996</v>
      </c>
      <c r="E26">
        <v>166.37978699999999</v>
      </c>
      <c r="F26">
        <v>160.76619500000001</v>
      </c>
      <c r="G26">
        <v>131.25</v>
      </c>
      <c r="H26">
        <v>88.579025799999997</v>
      </c>
      <c r="I26">
        <v>1559.2626299999999</v>
      </c>
      <c r="J26" s="1">
        <v>8.5005847700000006E-24</v>
      </c>
      <c r="K26">
        <v>23.935864200000001</v>
      </c>
      <c r="L26">
        <v>51174.972500000003</v>
      </c>
      <c r="M26">
        <v>131.25</v>
      </c>
      <c r="N26">
        <v>112.5</v>
      </c>
      <c r="O26">
        <v>49756.25</v>
      </c>
      <c r="P26">
        <v>50000</v>
      </c>
      <c r="Q26">
        <v>1779.09166</v>
      </c>
      <c r="R26">
        <v>51198.908300000003</v>
      </c>
      <c r="S26" s="3">
        <f t="shared" si="1"/>
        <v>100</v>
      </c>
      <c r="T26" s="3">
        <f t="shared" si="1"/>
        <v>78.736911822222226</v>
      </c>
    </row>
    <row r="27" spans="1:20" x14ac:dyDescent="0.3">
      <c r="A27">
        <v>24</v>
      </c>
      <c r="B27" t="s">
        <v>9</v>
      </c>
      <c r="D27">
        <v>4.2</v>
      </c>
      <c r="E27">
        <v>166.39953199999999</v>
      </c>
      <c r="F27">
        <v>161.15916999999999</v>
      </c>
      <c r="G27">
        <v>131.25</v>
      </c>
      <c r="H27">
        <v>92.288193199999995</v>
      </c>
      <c r="I27">
        <v>1748.09797</v>
      </c>
      <c r="J27" s="1">
        <v>1.0165483299999999E-19</v>
      </c>
      <c r="K27">
        <v>20.226696700000002</v>
      </c>
      <c r="L27">
        <v>50986.1371</v>
      </c>
      <c r="M27">
        <v>131.25</v>
      </c>
      <c r="N27">
        <v>112.5</v>
      </c>
      <c r="O27">
        <v>49756.25</v>
      </c>
      <c r="P27">
        <v>50000</v>
      </c>
      <c r="Q27">
        <v>1971.63616</v>
      </c>
      <c r="R27">
        <v>51006.363799999999</v>
      </c>
      <c r="S27" s="3">
        <f t="shared" si="1"/>
        <v>100</v>
      </c>
      <c r="T27" s="3">
        <f t="shared" si="1"/>
        <v>82.033949511111103</v>
      </c>
    </row>
    <row r="28" spans="1:20" x14ac:dyDescent="0.3">
      <c r="A28">
        <v>25</v>
      </c>
      <c r="B28" t="s">
        <v>9</v>
      </c>
      <c r="D28">
        <v>4.3</v>
      </c>
      <c r="E28">
        <v>166.41696999999999</v>
      </c>
      <c r="F28">
        <v>161.48697899999999</v>
      </c>
      <c r="G28">
        <v>131.25</v>
      </c>
      <c r="H28">
        <v>95.5496263</v>
      </c>
      <c r="I28">
        <v>1937.7938300000001</v>
      </c>
      <c r="J28" s="1">
        <v>1.8299279799999999E-21</v>
      </c>
      <c r="K28">
        <v>16.965263700000001</v>
      </c>
      <c r="L28">
        <v>50796.441299999999</v>
      </c>
      <c r="M28">
        <v>131.25</v>
      </c>
      <c r="N28">
        <v>112.5</v>
      </c>
      <c r="O28">
        <v>49756.25</v>
      </c>
      <c r="P28">
        <v>50000</v>
      </c>
      <c r="Q28">
        <v>2164.5934600000001</v>
      </c>
      <c r="R28">
        <v>50813.406499999997</v>
      </c>
      <c r="S28" s="3">
        <f t="shared" si="1"/>
        <v>100</v>
      </c>
      <c r="T28" s="3">
        <f t="shared" si="1"/>
        <v>84.933001155555559</v>
      </c>
    </row>
    <row r="29" spans="1:20" x14ac:dyDescent="0.3">
      <c r="A29">
        <v>26</v>
      </c>
      <c r="B29" t="s">
        <v>9</v>
      </c>
      <c r="D29">
        <v>4.4000000000000004</v>
      </c>
      <c r="E29">
        <v>166.432176</v>
      </c>
      <c r="F29">
        <v>161.765874</v>
      </c>
      <c r="G29">
        <v>131.25</v>
      </c>
      <c r="H29">
        <v>98.381101900000004</v>
      </c>
      <c r="I29">
        <v>2128.2635700000001</v>
      </c>
      <c r="J29" s="1">
        <v>2.0998540499999999E-24</v>
      </c>
      <c r="K29">
        <v>14.1337881</v>
      </c>
      <c r="L29">
        <v>50605.9715</v>
      </c>
      <c r="M29">
        <v>131.25</v>
      </c>
      <c r="N29">
        <v>112.5</v>
      </c>
      <c r="O29">
        <v>49756.25</v>
      </c>
      <c r="P29">
        <v>50000</v>
      </c>
      <c r="Q29">
        <v>2357.8946700000001</v>
      </c>
      <c r="R29">
        <v>50620.105300000003</v>
      </c>
      <c r="S29" s="3">
        <f t="shared" si="1"/>
        <v>100</v>
      </c>
      <c r="T29" s="3">
        <f t="shared" si="1"/>
        <v>87.449868355555566</v>
      </c>
    </row>
    <row r="30" spans="1:20" x14ac:dyDescent="0.3">
      <c r="A30">
        <v>27</v>
      </c>
      <c r="B30" t="s">
        <v>9</v>
      </c>
      <c r="D30">
        <v>4.5</v>
      </c>
      <c r="E30">
        <v>166.445277</v>
      </c>
      <c r="F30">
        <v>162.00687300000001</v>
      </c>
      <c r="G30">
        <v>131.25</v>
      </c>
      <c r="H30">
        <v>100.810378</v>
      </c>
      <c r="I30">
        <v>2319.4286400000001</v>
      </c>
      <c r="J30" s="1">
        <v>9.8636254500000008E-22</v>
      </c>
      <c r="K30">
        <v>11.704511800000001</v>
      </c>
      <c r="L30">
        <v>50414.806499999999</v>
      </c>
      <c r="M30">
        <v>131.25</v>
      </c>
      <c r="N30">
        <v>112.5</v>
      </c>
      <c r="O30">
        <v>49756.25</v>
      </c>
      <c r="P30">
        <v>50000</v>
      </c>
      <c r="Q30">
        <v>2551.48902</v>
      </c>
      <c r="R30">
        <v>50426.510999999999</v>
      </c>
      <c r="S30" s="3">
        <f t="shared" si="1"/>
        <v>100</v>
      </c>
      <c r="T30" s="3">
        <f t="shared" si="1"/>
        <v>89.609224888888889</v>
      </c>
    </row>
    <row r="31" spans="1:20" x14ac:dyDescent="0.3">
      <c r="A31">
        <v>28</v>
      </c>
      <c r="B31" t="s">
        <v>9</v>
      </c>
      <c r="D31">
        <v>4.5999999999999996</v>
      </c>
      <c r="E31">
        <v>166.456444</v>
      </c>
      <c r="F31">
        <v>162.217691</v>
      </c>
      <c r="G31">
        <v>131.25</v>
      </c>
      <c r="H31">
        <v>102.87228500000001</v>
      </c>
      <c r="I31">
        <v>2511.21452</v>
      </c>
      <c r="J31" s="1">
        <v>2.51954477E-20</v>
      </c>
      <c r="K31">
        <v>9.6426048099999999</v>
      </c>
      <c r="L31">
        <v>50223.020600000003</v>
      </c>
      <c r="M31">
        <v>131.25</v>
      </c>
      <c r="N31">
        <v>112.5</v>
      </c>
      <c r="O31">
        <v>49756.25</v>
      </c>
      <c r="P31">
        <v>50000</v>
      </c>
      <c r="Q31">
        <v>2745.3368</v>
      </c>
      <c r="R31">
        <v>50232.663200000003</v>
      </c>
      <c r="S31" s="3">
        <f t="shared" si="1"/>
        <v>100</v>
      </c>
      <c r="T31" s="3">
        <f t="shared" si="1"/>
        <v>91.44203111111112</v>
      </c>
    </row>
    <row r="32" spans="1:20" x14ac:dyDescent="0.3">
      <c r="A32">
        <v>29</v>
      </c>
      <c r="B32" t="s">
        <v>9</v>
      </c>
      <c r="D32">
        <v>4.7</v>
      </c>
      <c r="E32">
        <v>166.46587099999999</v>
      </c>
      <c r="F32">
        <v>162.40390600000001</v>
      </c>
      <c r="G32">
        <v>131.25</v>
      </c>
      <c r="H32">
        <v>104.60571400000001</v>
      </c>
      <c r="I32">
        <v>2703.5497500000001</v>
      </c>
      <c r="J32" s="1">
        <v>6.0545145499999996E-22</v>
      </c>
      <c r="K32">
        <v>7.9091763100000003</v>
      </c>
      <c r="L32">
        <v>50030.685400000002</v>
      </c>
      <c r="M32">
        <v>131.25</v>
      </c>
      <c r="N32">
        <v>112.5</v>
      </c>
      <c r="O32">
        <v>49756.25</v>
      </c>
      <c r="P32">
        <v>50000</v>
      </c>
      <c r="Q32">
        <v>2939.4054700000002</v>
      </c>
      <c r="R32">
        <v>50038.594499999999</v>
      </c>
      <c r="S32" s="3">
        <f t="shared" si="1"/>
        <v>100</v>
      </c>
      <c r="T32" s="3">
        <f t="shared" si="1"/>
        <v>92.98285688888889</v>
      </c>
    </row>
    <row r="33" spans="1:20" x14ac:dyDescent="0.3">
      <c r="A33">
        <v>30</v>
      </c>
      <c r="B33" t="s">
        <v>9</v>
      </c>
      <c r="D33">
        <v>4.8</v>
      </c>
      <c r="E33">
        <v>166.47376199999999</v>
      </c>
      <c r="F33">
        <v>162.56966800000001</v>
      </c>
      <c r="G33">
        <v>131.25</v>
      </c>
      <c r="H33">
        <v>106.050894</v>
      </c>
      <c r="I33">
        <v>2896.36654</v>
      </c>
      <c r="J33" s="1">
        <v>7.7430255800000004E-22</v>
      </c>
      <c r="K33">
        <v>6.4639961599999998</v>
      </c>
      <c r="L33">
        <v>49837.868600000002</v>
      </c>
      <c r="M33">
        <v>131.25</v>
      </c>
      <c r="N33">
        <v>112.5</v>
      </c>
      <c r="O33">
        <v>49756.25</v>
      </c>
      <c r="P33">
        <v>50000</v>
      </c>
      <c r="Q33">
        <v>3133.6674400000002</v>
      </c>
      <c r="R33">
        <v>49844.332600000002</v>
      </c>
      <c r="S33" s="3">
        <f t="shared" si="1"/>
        <v>100</v>
      </c>
      <c r="T33" s="3">
        <f t="shared" si="1"/>
        <v>94.267461333333344</v>
      </c>
    </row>
    <row r="34" spans="1:20" x14ac:dyDescent="0.3">
      <c r="A34">
        <v>31</v>
      </c>
      <c r="B34" t="s">
        <v>9</v>
      </c>
      <c r="D34">
        <v>4.9000000000000004</v>
      </c>
      <c r="E34">
        <v>166.480321</v>
      </c>
      <c r="F34">
        <v>162.718154</v>
      </c>
      <c r="G34">
        <v>131.25</v>
      </c>
      <c r="H34">
        <v>107.24720600000001</v>
      </c>
      <c r="I34">
        <v>3089.6016800000002</v>
      </c>
      <c r="J34" s="1">
        <v>1.28474445E-20</v>
      </c>
      <c r="K34">
        <v>5.2676841799999998</v>
      </c>
      <c r="L34">
        <v>49644.633399999999</v>
      </c>
      <c r="M34">
        <v>131.25</v>
      </c>
      <c r="N34">
        <v>112.5</v>
      </c>
      <c r="O34">
        <v>49756.25</v>
      </c>
      <c r="P34">
        <v>50000</v>
      </c>
      <c r="Q34">
        <v>3328.09888</v>
      </c>
      <c r="R34">
        <v>49649.901100000003</v>
      </c>
      <c r="S34" s="3">
        <f t="shared" si="1"/>
        <v>100</v>
      </c>
      <c r="T34" s="3">
        <f t="shared" si="1"/>
        <v>95.330849777777786</v>
      </c>
    </row>
    <row r="35" spans="1:20" x14ac:dyDescent="0.3">
      <c r="A35">
        <v>32</v>
      </c>
      <c r="B35" t="s">
        <v>9</v>
      </c>
      <c r="D35">
        <v>5</v>
      </c>
      <c r="E35">
        <v>166.485739</v>
      </c>
      <c r="F35">
        <v>162.85185999999999</v>
      </c>
      <c r="G35">
        <v>131.25</v>
      </c>
      <c r="H35">
        <v>108.231613</v>
      </c>
      <c r="I35">
        <v>3283.1974</v>
      </c>
      <c r="J35" s="1">
        <v>1.22519829E-20</v>
      </c>
      <c r="K35">
        <v>4.2832772400000003</v>
      </c>
      <c r="L35">
        <v>49451.037700000001</v>
      </c>
      <c r="M35">
        <v>131.25</v>
      </c>
      <c r="N35">
        <v>112.5</v>
      </c>
      <c r="O35">
        <v>49756.25</v>
      </c>
      <c r="P35">
        <v>50000</v>
      </c>
      <c r="Q35">
        <v>3522.6790099999998</v>
      </c>
      <c r="R35">
        <v>49455.321000000004</v>
      </c>
      <c r="S35" s="3">
        <f t="shared" si="1"/>
        <v>100</v>
      </c>
      <c r="T35" s="3">
        <f t="shared" si="1"/>
        <v>96.205878222222225</v>
      </c>
    </row>
    <row r="36" spans="1:20" x14ac:dyDescent="0.3">
      <c r="A36">
        <v>33</v>
      </c>
      <c r="B36" t="s">
        <v>9</v>
      </c>
      <c r="D36">
        <v>5.0999999999999996</v>
      </c>
      <c r="E36">
        <v>166.490194</v>
      </c>
      <c r="F36">
        <v>162.972792</v>
      </c>
      <c r="G36">
        <v>131.25</v>
      </c>
      <c r="H36">
        <v>109.037689</v>
      </c>
      <c r="I36">
        <v>3477.10194</v>
      </c>
      <c r="J36" s="1">
        <v>9.3973686899999999E-23</v>
      </c>
      <c r="K36">
        <v>3.4772013199999998</v>
      </c>
      <c r="L36">
        <v>49257.133199999997</v>
      </c>
      <c r="M36">
        <v>131.25</v>
      </c>
      <c r="N36">
        <v>112.5</v>
      </c>
      <c r="O36">
        <v>49756.25</v>
      </c>
      <c r="P36">
        <v>50000</v>
      </c>
      <c r="Q36">
        <v>3717.3896300000001</v>
      </c>
      <c r="R36">
        <v>49260.610399999998</v>
      </c>
      <c r="S36" s="3">
        <f t="shared" si="1"/>
        <v>100</v>
      </c>
      <c r="T36" s="3">
        <f t="shared" si="1"/>
        <v>96.922390222222219</v>
      </c>
    </row>
    <row r="37" spans="1:20" x14ac:dyDescent="0.3">
      <c r="A37">
        <v>34</v>
      </c>
      <c r="B37" t="s">
        <v>9</v>
      </c>
      <c r="D37">
        <v>5.2</v>
      </c>
      <c r="E37">
        <v>166.493841</v>
      </c>
      <c r="F37">
        <v>163.082594</v>
      </c>
      <c r="G37">
        <v>131.25</v>
      </c>
      <c r="H37">
        <v>109.695145</v>
      </c>
      <c r="I37">
        <v>3671.2696599999999</v>
      </c>
      <c r="J37" s="1">
        <v>9.3678767200000003E-23</v>
      </c>
      <c r="K37">
        <v>2.81974495</v>
      </c>
      <c r="L37">
        <v>49062.965499999998</v>
      </c>
      <c r="M37">
        <v>131.25</v>
      </c>
      <c r="N37">
        <v>112.5</v>
      </c>
      <c r="O37">
        <v>49756.25</v>
      </c>
      <c r="P37">
        <v>50000</v>
      </c>
      <c r="Q37">
        <v>3912.2148000000002</v>
      </c>
      <c r="R37">
        <v>49065.785199999998</v>
      </c>
      <c r="S37" s="3">
        <f t="shared" si="1"/>
        <v>100</v>
      </c>
      <c r="T37" s="3">
        <f t="shared" si="1"/>
        <v>97.506795555555556</v>
      </c>
    </row>
    <row r="38" spans="1:20" x14ac:dyDescent="0.3">
      <c r="A38">
        <v>35</v>
      </c>
      <c r="B38" t="s">
        <v>9</v>
      </c>
      <c r="D38">
        <v>5.3</v>
      </c>
      <c r="E38">
        <v>166.49681899999999</v>
      </c>
      <c r="F38">
        <v>163.182637</v>
      </c>
      <c r="G38">
        <v>131.25</v>
      </c>
      <c r="H38">
        <v>110.229733</v>
      </c>
      <c r="I38">
        <v>3865.6608799999999</v>
      </c>
      <c r="J38" s="1">
        <v>9.3380655400000002E-29</v>
      </c>
      <c r="K38">
        <v>2.2851565300000001</v>
      </c>
      <c r="L38">
        <v>48868.574200000003</v>
      </c>
      <c r="M38">
        <v>131.25</v>
      </c>
      <c r="N38">
        <v>112.5</v>
      </c>
      <c r="O38">
        <v>49756.25</v>
      </c>
      <c r="P38">
        <v>50000</v>
      </c>
      <c r="Q38">
        <v>4107.1406100000004</v>
      </c>
      <c r="R38">
        <v>48870.859400000001</v>
      </c>
      <c r="S38" s="3">
        <f t="shared" si="1"/>
        <v>100</v>
      </c>
      <c r="T38" s="3">
        <f t="shared" si="1"/>
        <v>97.981984888888888</v>
      </c>
    </row>
    <row r="39" spans="1:20" x14ac:dyDescent="0.3">
      <c r="A39">
        <v>36</v>
      </c>
      <c r="B39" t="s">
        <v>9</v>
      </c>
      <c r="D39">
        <v>5.4</v>
      </c>
      <c r="E39">
        <v>166.499244</v>
      </c>
      <c r="F39">
        <v>163.27407700000001</v>
      </c>
      <c r="G39">
        <v>131.25</v>
      </c>
      <c r="H39">
        <v>110.663403</v>
      </c>
      <c r="I39">
        <v>4060.24154</v>
      </c>
      <c r="J39" s="1">
        <v>9.5640002199999994E-23</v>
      </c>
      <c r="K39">
        <v>1.8514868600000001</v>
      </c>
      <c r="L39">
        <v>48673.993600000002</v>
      </c>
      <c r="M39">
        <v>131.25</v>
      </c>
      <c r="N39">
        <v>112.5</v>
      </c>
      <c r="O39">
        <v>49756.25</v>
      </c>
      <c r="P39">
        <v>50000</v>
      </c>
      <c r="Q39">
        <v>4302.1549500000001</v>
      </c>
      <c r="R39">
        <v>48675.845099999999</v>
      </c>
      <c r="S39" s="3">
        <f t="shared" si="1"/>
        <v>100</v>
      </c>
      <c r="T39" s="3">
        <f t="shared" si="1"/>
        <v>98.367469333333332</v>
      </c>
    </row>
    <row r="40" spans="1:20" x14ac:dyDescent="0.3">
      <c r="A40">
        <v>37</v>
      </c>
      <c r="B40" t="s">
        <v>9</v>
      </c>
      <c r="D40">
        <v>5.5</v>
      </c>
      <c r="E40">
        <v>166.501215</v>
      </c>
      <c r="F40">
        <v>163.357899</v>
      </c>
      <c r="G40">
        <v>131.25</v>
      </c>
      <c r="H40">
        <v>111.01461399999999</v>
      </c>
      <c r="I40">
        <v>4254.9826599999997</v>
      </c>
      <c r="J40" s="1">
        <v>3.76503967E-21</v>
      </c>
      <c r="K40">
        <v>1.5002764799999999</v>
      </c>
      <c r="L40">
        <v>48479.252500000002</v>
      </c>
      <c r="M40">
        <v>131.25</v>
      </c>
      <c r="N40">
        <v>112.5</v>
      </c>
      <c r="O40">
        <v>49756.25</v>
      </c>
      <c r="P40">
        <v>50000</v>
      </c>
      <c r="Q40">
        <v>4497.2472699999998</v>
      </c>
      <c r="R40">
        <v>48480.752699999997</v>
      </c>
      <c r="S40" s="3">
        <f t="shared" si="1"/>
        <v>100</v>
      </c>
      <c r="T40" s="3">
        <f t="shared" si="1"/>
        <v>98.679656888888886</v>
      </c>
    </row>
    <row r="41" spans="1:20" x14ac:dyDescent="0.3">
      <c r="A41">
        <v>38</v>
      </c>
      <c r="B41" t="s">
        <v>9</v>
      </c>
      <c r="D41">
        <v>5.6</v>
      </c>
      <c r="E41">
        <v>166.502816</v>
      </c>
      <c r="F41">
        <v>163.43494999999999</v>
      </c>
      <c r="G41">
        <v>131.25</v>
      </c>
      <c r="H41">
        <v>111.298723</v>
      </c>
      <c r="I41">
        <v>4449.8597300000001</v>
      </c>
      <c r="J41" s="1">
        <v>1.9051558000000001E-22</v>
      </c>
      <c r="K41">
        <v>1.2161665800000001</v>
      </c>
      <c r="L41">
        <v>48284.375399999997</v>
      </c>
      <c r="M41">
        <v>131.25</v>
      </c>
      <c r="N41">
        <v>112.5</v>
      </c>
      <c r="O41">
        <v>49756.25</v>
      </c>
      <c r="P41">
        <v>50000</v>
      </c>
      <c r="Q41">
        <v>4692.4084599999996</v>
      </c>
      <c r="R41">
        <v>48285.591500000002</v>
      </c>
      <c r="S41" s="3">
        <f t="shared" si="1"/>
        <v>100</v>
      </c>
      <c r="T41" s="3">
        <f t="shared" si="1"/>
        <v>98.932198222222212</v>
      </c>
    </row>
    <row r="42" spans="1:20" x14ac:dyDescent="0.3">
      <c r="A42">
        <v>39</v>
      </c>
      <c r="B42" t="s">
        <v>9</v>
      </c>
      <c r="D42">
        <v>5.7</v>
      </c>
      <c r="E42">
        <v>166.50411500000001</v>
      </c>
      <c r="F42">
        <v>163.50596200000001</v>
      </c>
      <c r="G42">
        <v>131.25</v>
      </c>
      <c r="H42">
        <v>111.528403</v>
      </c>
      <c r="I42">
        <v>4644.8521899999996</v>
      </c>
      <c r="J42" s="1">
        <v>2.2644310299999998E-21</v>
      </c>
      <c r="K42">
        <v>0.98648704200000004</v>
      </c>
      <c r="L42">
        <v>48089.382899999997</v>
      </c>
      <c r="M42">
        <v>131.25</v>
      </c>
      <c r="N42">
        <v>112.5</v>
      </c>
      <c r="O42">
        <v>49756.25</v>
      </c>
      <c r="P42">
        <v>50000</v>
      </c>
      <c r="Q42">
        <v>4887.6306000000004</v>
      </c>
      <c r="R42">
        <v>48090.369400000003</v>
      </c>
      <c r="S42" s="3">
        <f t="shared" si="1"/>
        <v>100</v>
      </c>
      <c r="T42" s="3">
        <f t="shared" si="1"/>
        <v>99.136358222222228</v>
      </c>
    </row>
    <row r="43" spans="1:20" x14ac:dyDescent="0.3">
      <c r="A43">
        <v>40</v>
      </c>
      <c r="B43" t="s">
        <v>9</v>
      </c>
      <c r="D43">
        <v>5.8</v>
      </c>
      <c r="E43">
        <v>166.505169</v>
      </c>
      <c r="F43">
        <v>163.571573</v>
      </c>
      <c r="G43">
        <v>131.25</v>
      </c>
      <c r="H43">
        <v>111.714034</v>
      </c>
      <c r="I43">
        <v>4839.9428099999996</v>
      </c>
      <c r="J43" s="1">
        <v>2.2567783299999999E-27</v>
      </c>
      <c r="K43">
        <v>0.80085627800000003</v>
      </c>
      <c r="L43">
        <v>47894.292300000001</v>
      </c>
      <c r="M43">
        <v>131.25</v>
      </c>
      <c r="N43">
        <v>112.5</v>
      </c>
      <c r="O43">
        <v>49756.25</v>
      </c>
      <c r="P43">
        <v>50000</v>
      </c>
      <c r="Q43">
        <v>5082.9068399999996</v>
      </c>
      <c r="R43">
        <v>47895.093200000003</v>
      </c>
      <c r="S43" s="3">
        <f t="shared" si="1"/>
        <v>100</v>
      </c>
      <c r="T43" s="3">
        <f t="shared" si="1"/>
        <v>99.301363555555554</v>
      </c>
    </row>
    <row r="44" spans="1:20" x14ac:dyDescent="0.3">
      <c r="A44">
        <v>41</v>
      </c>
      <c r="B44" t="s">
        <v>9</v>
      </c>
      <c r="D44">
        <v>5.9</v>
      </c>
      <c r="E44">
        <v>166.50602499999999</v>
      </c>
      <c r="F44">
        <v>163.63233700000001</v>
      </c>
      <c r="G44">
        <v>131.25</v>
      </c>
      <c r="H44">
        <v>111.86407699999999</v>
      </c>
      <c r="I44">
        <v>5035.1171800000002</v>
      </c>
      <c r="J44" s="1">
        <v>7.3966846300000004E-22</v>
      </c>
      <c r="K44">
        <v>0.65081295400000005</v>
      </c>
      <c r="L44">
        <v>47699.117899999997</v>
      </c>
      <c r="M44">
        <v>131.25</v>
      </c>
      <c r="N44">
        <v>112.5</v>
      </c>
      <c r="O44">
        <v>49756.25</v>
      </c>
      <c r="P44">
        <v>50000</v>
      </c>
      <c r="Q44">
        <v>5278.2312599999996</v>
      </c>
      <c r="R44">
        <v>47699.768700000001</v>
      </c>
      <c r="S44" s="3">
        <f t="shared" si="1"/>
        <v>100</v>
      </c>
      <c r="T44" s="3">
        <f t="shared" si="1"/>
        <v>99.43473511111111</v>
      </c>
    </row>
    <row r="45" spans="1:20" x14ac:dyDescent="0.3">
      <c r="A45">
        <v>42</v>
      </c>
      <c r="B45" t="s">
        <v>9</v>
      </c>
      <c r="D45">
        <v>6</v>
      </c>
      <c r="E45">
        <v>166.506719</v>
      </c>
      <c r="F45">
        <v>163.68874099999999</v>
      </c>
      <c r="G45">
        <v>131.25</v>
      </c>
      <c r="H45">
        <v>111.985401</v>
      </c>
      <c r="I45">
        <v>5230.3633200000004</v>
      </c>
      <c r="J45" s="1">
        <v>9.1965857199999999E-24</v>
      </c>
      <c r="K45">
        <v>0.52948907599999995</v>
      </c>
      <c r="L45">
        <v>47503.871800000001</v>
      </c>
      <c r="M45">
        <v>131.25</v>
      </c>
      <c r="N45">
        <v>112.5</v>
      </c>
      <c r="O45">
        <v>49756.25</v>
      </c>
      <c r="P45">
        <v>50000</v>
      </c>
      <c r="Q45">
        <v>5473.59872</v>
      </c>
      <c r="R45">
        <v>47504.401299999998</v>
      </c>
      <c r="S45" s="3">
        <f t="shared" si="1"/>
        <v>100</v>
      </c>
      <c r="T45" s="3">
        <f t="shared" si="1"/>
        <v>99.542578666666671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E6C5A-23FA-4507-A494-ECBE5A4D1A98}">
  <dimension ref="A3:T45"/>
  <sheetViews>
    <sheetView workbookViewId="0">
      <selection activeCell="D10" sqref="D10"/>
    </sheetView>
  </sheetViews>
  <sheetFormatPr defaultRowHeight="14.4" x14ac:dyDescent="0.3"/>
  <cols>
    <col min="1" max="1" width="9.6640625" bestFit="1" customWidth="1"/>
    <col min="2" max="2" width="6.44140625" bestFit="1" customWidth="1"/>
    <col min="3" max="3" width="11.33203125" bestFit="1" customWidth="1"/>
    <col min="4" max="12" width="11" bestFit="1" customWidth="1"/>
    <col min="13" max="13" width="11.33203125" customWidth="1"/>
    <col min="14" max="15" width="11" bestFit="1" customWidth="1"/>
    <col min="19" max="19" width="12" bestFit="1" customWidth="1"/>
  </cols>
  <sheetData>
    <row r="3" spans="1:20" ht="28.8" x14ac:dyDescent="0.3">
      <c r="A3" t="s">
        <v>0</v>
      </c>
      <c r="B3" t="s">
        <v>1</v>
      </c>
      <c r="C3" t="s">
        <v>2</v>
      </c>
      <c r="D3" s="2" t="s">
        <v>3</v>
      </c>
      <c r="E3" s="2" t="s">
        <v>4</v>
      </c>
      <c r="F3" s="2" t="s">
        <v>5</v>
      </c>
      <c r="G3" s="2" t="s">
        <v>10</v>
      </c>
      <c r="H3" s="2" t="s">
        <v>11</v>
      </c>
      <c r="I3" s="2" t="s">
        <v>15</v>
      </c>
      <c r="J3" s="2" t="s">
        <v>12</v>
      </c>
      <c r="K3" s="2" t="s">
        <v>13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6</v>
      </c>
      <c r="Q3" s="2" t="s">
        <v>7</v>
      </c>
      <c r="R3" s="2" t="s">
        <v>8</v>
      </c>
      <c r="S3" s="2" t="s">
        <v>14</v>
      </c>
      <c r="T3" s="2" t="s">
        <v>20</v>
      </c>
    </row>
    <row r="4" spans="1:20" x14ac:dyDescent="0.3">
      <c r="A4">
        <v>1</v>
      </c>
      <c r="B4" t="s">
        <v>62</v>
      </c>
      <c r="D4">
        <v>0.5</v>
      </c>
      <c r="E4">
        <v>145.08963600000001</v>
      </c>
      <c r="F4">
        <v>-136.62278699999999</v>
      </c>
      <c r="G4" s="1">
        <v>0.478895191</v>
      </c>
      <c r="H4" s="1">
        <v>9.3526955199999998E-2</v>
      </c>
      <c r="I4" s="1">
        <v>0.166464844</v>
      </c>
      <c r="J4">
        <v>119.76385399999999</v>
      </c>
      <c r="K4">
        <v>1671.23829</v>
      </c>
      <c r="L4">
        <v>55946.810799999999</v>
      </c>
      <c r="M4">
        <v>43.75</v>
      </c>
      <c r="N4">
        <v>37.5</v>
      </c>
      <c r="O4">
        <v>49918.75</v>
      </c>
      <c r="P4">
        <v>50000</v>
      </c>
      <c r="Q4">
        <v>0.73888699099999999</v>
      </c>
      <c r="R4">
        <v>57737.812899999997</v>
      </c>
      <c r="S4" s="3">
        <f>100*G4/M4</f>
        <v>1.0946175794285715</v>
      </c>
      <c r="T4" s="3">
        <f>100*H4/N4</f>
        <v>0.24940521386666664</v>
      </c>
    </row>
    <row r="5" spans="1:20" x14ac:dyDescent="0.3">
      <c r="A5">
        <v>2</v>
      </c>
      <c r="B5" t="s">
        <v>62</v>
      </c>
      <c r="D5">
        <v>2</v>
      </c>
      <c r="E5">
        <v>160.23836800000001</v>
      </c>
      <c r="F5">
        <v>94.705038900000005</v>
      </c>
      <c r="G5">
        <v>693.59462599999995</v>
      </c>
      <c r="H5" s="1">
        <v>2.0765416700000001</v>
      </c>
      <c r="I5">
        <v>40.741390099999997</v>
      </c>
      <c r="J5" s="1">
        <v>70.440582199999994</v>
      </c>
      <c r="K5">
        <v>33.967455999999999</v>
      </c>
      <c r="L5">
        <v>65925.987800000003</v>
      </c>
      <c r="M5">
        <v>43.75</v>
      </c>
      <c r="N5">
        <v>37.5</v>
      </c>
      <c r="O5">
        <v>49918.75</v>
      </c>
      <c r="P5">
        <v>50000</v>
      </c>
      <c r="Q5">
        <v>736.41255699999999</v>
      </c>
      <c r="R5">
        <v>66030.395799999998</v>
      </c>
      <c r="S5" s="3">
        <f t="shared" ref="S5:T20" si="0">100*G5/M5</f>
        <v>1585.3591451428572</v>
      </c>
      <c r="T5" s="3">
        <f t="shared" si="0"/>
        <v>5.5374444533333333</v>
      </c>
    </row>
    <row r="6" spans="1:20" x14ac:dyDescent="0.3">
      <c r="A6">
        <v>3</v>
      </c>
      <c r="B6" t="s">
        <v>62</v>
      </c>
      <c r="D6">
        <v>2.1</v>
      </c>
      <c r="E6">
        <v>157.38816399999999</v>
      </c>
      <c r="F6">
        <v>106.06828</v>
      </c>
      <c r="G6" s="1">
        <v>3.0458399100000002E-22</v>
      </c>
      <c r="H6" s="1">
        <v>3.92663216</v>
      </c>
      <c r="I6">
        <v>4.1121385599999997E-2</v>
      </c>
      <c r="J6" s="1">
        <v>89.694705499999998</v>
      </c>
      <c r="K6">
        <v>45.485003300000002</v>
      </c>
      <c r="L6">
        <v>53039.715100000001</v>
      </c>
      <c r="M6">
        <v>43.75</v>
      </c>
      <c r="N6">
        <v>37.5</v>
      </c>
      <c r="O6">
        <v>49918.75</v>
      </c>
      <c r="P6">
        <v>50000</v>
      </c>
      <c r="Q6">
        <v>3.9677535499999999</v>
      </c>
      <c r="R6">
        <v>53174.894800000002</v>
      </c>
      <c r="S6" s="3">
        <f t="shared" si="0"/>
        <v>6.9619197942857152E-22</v>
      </c>
      <c r="T6" s="3">
        <f t="shared" si="0"/>
        <v>10.471019093333332</v>
      </c>
    </row>
    <row r="7" spans="1:20" x14ac:dyDescent="0.3">
      <c r="A7">
        <v>4</v>
      </c>
      <c r="B7" t="s">
        <v>62</v>
      </c>
      <c r="D7">
        <v>2.2000000000000002</v>
      </c>
      <c r="E7">
        <v>159.80830800000001</v>
      </c>
      <c r="F7">
        <v>40.2802735</v>
      </c>
      <c r="G7" s="1">
        <v>3.5497807899999997E-26</v>
      </c>
      <c r="H7" s="1">
        <v>7.1513036299999998E-5</v>
      </c>
      <c r="I7" s="1">
        <v>5.1000606799999998E-7</v>
      </c>
      <c r="J7" s="1">
        <v>63.304107999999999</v>
      </c>
      <c r="K7">
        <v>159.47393700000001</v>
      </c>
      <c r="L7">
        <v>52906.063999999998</v>
      </c>
      <c r="M7">
        <v>43.75</v>
      </c>
      <c r="N7">
        <v>37.5</v>
      </c>
      <c r="O7">
        <v>49918.75</v>
      </c>
      <c r="P7">
        <v>50000</v>
      </c>
      <c r="Q7" s="1">
        <v>7.2023042399999999E-5</v>
      </c>
      <c r="R7">
        <v>53128.841999999997</v>
      </c>
      <c r="S7" s="3">
        <f t="shared" si="0"/>
        <v>8.1137846628571424E-26</v>
      </c>
      <c r="T7" s="3">
        <f t="shared" si="0"/>
        <v>1.9070143013333332E-4</v>
      </c>
    </row>
    <row r="8" spans="1:20" x14ac:dyDescent="0.3">
      <c r="A8">
        <v>5</v>
      </c>
      <c r="B8" t="s">
        <v>62</v>
      </c>
      <c r="D8">
        <v>2.2999999999999998</v>
      </c>
      <c r="E8">
        <v>160.974098</v>
      </c>
      <c r="F8">
        <v>-136.62278699999999</v>
      </c>
      <c r="G8">
        <v>0.82731153700000004</v>
      </c>
      <c r="H8" s="1">
        <v>5.0064762099999997E-37</v>
      </c>
      <c r="I8">
        <v>8.9866498599999997E-2</v>
      </c>
      <c r="J8" s="1">
        <v>55.080625400000002</v>
      </c>
      <c r="K8">
        <v>41.521987899999999</v>
      </c>
      <c r="L8">
        <v>52898.819900000002</v>
      </c>
      <c r="M8">
        <v>43.75</v>
      </c>
      <c r="N8">
        <v>37.5</v>
      </c>
      <c r="O8">
        <v>49918.75</v>
      </c>
      <c r="P8">
        <v>50000</v>
      </c>
      <c r="Q8">
        <v>0.91717803600000003</v>
      </c>
      <c r="R8">
        <v>52995.422500000001</v>
      </c>
      <c r="S8" s="3">
        <f t="shared" si="0"/>
        <v>1.8909977988571429</v>
      </c>
      <c r="T8" s="3">
        <f t="shared" si="0"/>
        <v>1.3350603226666665E-36</v>
      </c>
    </row>
    <row r="9" spans="1:20" x14ac:dyDescent="0.3">
      <c r="A9">
        <v>6</v>
      </c>
      <c r="B9" t="s">
        <v>9</v>
      </c>
      <c r="D9">
        <v>2.4</v>
      </c>
      <c r="E9">
        <v>162.25075799999999</v>
      </c>
      <c r="F9">
        <v>60.002298400000001</v>
      </c>
      <c r="G9">
        <v>0.63416608699999999</v>
      </c>
      <c r="H9" s="1">
        <v>8.8956290699999998E-6</v>
      </c>
      <c r="I9">
        <v>1.9258170000000002E-2</v>
      </c>
      <c r="J9" s="1">
        <v>43.115833899999998</v>
      </c>
      <c r="K9">
        <v>37.514881099999997</v>
      </c>
      <c r="L9">
        <v>52896.715900000003</v>
      </c>
      <c r="M9">
        <v>43.75</v>
      </c>
      <c r="N9">
        <v>37.5</v>
      </c>
      <c r="O9">
        <v>49918.75</v>
      </c>
      <c r="P9">
        <v>50000</v>
      </c>
      <c r="Q9">
        <v>0.65343315300000004</v>
      </c>
      <c r="R9">
        <v>52977.346599999997</v>
      </c>
      <c r="S9" s="3">
        <f t="shared" si="0"/>
        <v>1.4495224845714285</v>
      </c>
      <c r="T9" s="3">
        <f t="shared" si="0"/>
        <v>2.3721677519999998E-5</v>
      </c>
    </row>
    <row r="10" spans="1:20" x14ac:dyDescent="0.3">
      <c r="A10">
        <v>7</v>
      </c>
      <c r="B10" t="s">
        <v>9</v>
      </c>
      <c r="D10">
        <v>2.5</v>
      </c>
      <c r="E10">
        <v>163.85299800000001</v>
      </c>
      <c r="F10">
        <v>60.052925100000003</v>
      </c>
      <c r="G10">
        <v>17.1322917</v>
      </c>
      <c r="H10">
        <v>2.42410612E-4</v>
      </c>
      <c r="I10">
        <v>0.52174273999999998</v>
      </c>
      <c r="J10" s="1">
        <v>26.6177083</v>
      </c>
      <c r="K10">
        <v>37.514647600000004</v>
      </c>
      <c r="L10">
        <v>52896.213400000001</v>
      </c>
      <c r="M10">
        <v>43.75</v>
      </c>
      <c r="N10">
        <v>37.5</v>
      </c>
      <c r="O10">
        <v>49918.75</v>
      </c>
      <c r="P10">
        <v>50000</v>
      </c>
      <c r="Q10">
        <v>17.654276800000002</v>
      </c>
      <c r="R10">
        <v>52960.345699999998</v>
      </c>
      <c r="S10" s="3">
        <f t="shared" si="0"/>
        <v>39.159523885714286</v>
      </c>
      <c r="T10" s="3">
        <f t="shared" si="0"/>
        <v>6.464282986666667E-4</v>
      </c>
    </row>
    <row r="11" spans="1:20" x14ac:dyDescent="0.3">
      <c r="A11">
        <v>8</v>
      </c>
      <c r="B11" t="s">
        <v>9</v>
      </c>
      <c r="D11">
        <v>2.6</v>
      </c>
      <c r="E11">
        <v>165.451617</v>
      </c>
      <c r="F11">
        <v>60.106530200000002</v>
      </c>
      <c r="G11">
        <v>34.251353600000002</v>
      </c>
      <c r="H11">
        <v>4.89853313E-4</v>
      </c>
      <c r="I11">
        <v>1.0462066800000001</v>
      </c>
      <c r="J11" s="1">
        <v>9.4986464099999992</v>
      </c>
      <c r="K11">
        <v>37.514400100000003</v>
      </c>
      <c r="L11">
        <v>52895.688900000001</v>
      </c>
      <c r="M11">
        <v>43.75</v>
      </c>
      <c r="N11">
        <v>37.5</v>
      </c>
      <c r="O11">
        <v>49918.75</v>
      </c>
      <c r="P11">
        <v>50000</v>
      </c>
      <c r="Q11">
        <v>35.298050099999998</v>
      </c>
      <c r="R11">
        <v>52942.7019</v>
      </c>
      <c r="S11" s="3">
        <f t="shared" si="0"/>
        <v>78.28880822857144</v>
      </c>
      <c r="T11" s="3">
        <f t="shared" si="0"/>
        <v>1.3062755013333333E-3</v>
      </c>
    </row>
    <row r="12" spans="1:20" x14ac:dyDescent="0.3">
      <c r="A12">
        <v>9</v>
      </c>
      <c r="B12" t="s">
        <v>9</v>
      </c>
      <c r="D12">
        <v>2.7</v>
      </c>
      <c r="E12">
        <v>166.31373400000001</v>
      </c>
      <c r="F12">
        <v>60.447533499999999</v>
      </c>
      <c r="G12">
        <v>43.750000499999999</v>
      </c>
      <c r="H12">
        <v>0.20908659499999999</v>
      </c>
      <c r="I12">
        <v>2.5031434799999999</v>
      </c>
      <c r="J12" s="1">
        <v>4.7434875899999998E-17</v>
      </c>
      <c r="K12">
        <v>37.305803400000002</v>
      </c>
      <c r="L12">
        <v>52894.232000000004</v>
      </c>
      <c r="M12">
        <v>43.75</v>
      </c>
      <c r="N12">
        <v>37.5</v>
      </c>
      <c r="O12">
        <v>49918.75</v>
      </c>
      <c r="P12">
        <v>50000</v>
      </c>
      <c r="Q12">
        <v>46.462230599999998</v>
      </c>
      <c r="R12">
        <v>52931.537799999998</v>
      </c>
      <c r="S12" s="3">
        <f t="shared" si="0"/>
        <v>100.00000114285713</v>
      </c>
      <c r="T12" s="3">
        <f t="shared" si="0"/>
        <v>0.55756425333333326</v>
      </c>
    </row>
    <row r="13" spans="1:20" x14ac:dyDescent="0.3">
      <c r="A13">
        <v>10</v>
      </c>
      <c r="B13" t="s">
        <v>9</v>
      </c>
      <c r="D13">
        <v>2.8</v>
      </c>
      <c r="E13">
        <v>166.320515</v>
      </c>
      <c r="F13">
        <v>60.761178600000001</v>
      </c>
      <c r="G13">
        <v>43.750000200000002</v>
      </c>
      <c r="H13">
        <v>1.49931535</v>
      </c>
      <c r="I13">
        <v>3.0047087100000001</v>
      </c>
      <c r="J13" s="1">
        <v>5.1217480799999998E-18</v>
      </c>
      <c r="K13">
        <v>36.015574600000001</v>
      </c>
      <c r="L13">
        <v>52893.7304</v>
      </c>
      <c r="M13">
        <v>43.75</v>
      </c>
      <c r="N13">
        <v>37.5</v>
      </c>
      <c r="O13">
        <v>49918.75</v>
      </c>
      <c r="P13">
        <v>50000</v>
      </c>
      <c r="Q13">
        <v>48.254024200000003</v>
      </c>
      <c r="R13">
        <v>52929.745999999999</v>
      </c>
      <c r="S13" s="3">
        <f t="shared" si="0"/>
        <v>100.00000045714286</v>
      </c>
      <c r="T13" s="3">
        <f t="shared" si="0"/>
        <v>3.9981742666666666</v>
      </c>
    </row>
    <row r="14" spans="1:20" x14ac:dyDescent="0.3">
      <c r="A14">
        <v>11</v>
      </c>
      <c r="B14" t="s">
        <v>9</v>
      </c>
      <c r="D14">
        <v>2.9</v>
      </c>
      <c r="E14">
        <v>166.33099100000001</v>
      </c>
      <c r="F14">
        <v>61.524346399999999</v>
      </c>
      <c r="G14">
        <v>43.749993099999998</v>
      </c>
      <c r="H14">
        <v>3.4925615900000002</v>
      </c>
      <c r="I14">
        <v>3.4805755700000001</v>
      </c>
      <c r="J14" s="1">
        <v>2.2500169000000001E-18</v>
      </c>
      <c r="K14">
        <v>34.0223291</v>
      </c>
      <c r="L14">
        <v>52893.254500000003</v>
      </c>
      <c r="M14">
        <v>43.75</v>
      </c>
      <c r="N14">
        <v>37.5</v>
      </c>
      <c r="O14">
        <v>49918.75</v>
      </c>
      <c r="P14">
        <v>50000</v>
      </c>
      <c r="Q14">
        <v>50.723130300000001</v>
      </c>
      <c r="R14">
        <v>52927.276899999997</v>
      </c>
      <c r="S14" s="3">
        <f t="shared" si="0"/>
        <v>99.999984228571435</v>
      </c>
      <c r="T14" s="3">
        <f t="shared" si="0"/>
        <v>9.3134975733333345</v>
      </c>
    </row>
    <row r="15" spans="1:20" x14ac:dyDescent="0.3">
      <c r="A15">
        <v>12</v>
      </c>
      <c r="B15" t="s">
        <v>9</v>
      </c>
      <c r="D15">
        <v>3</v>
      </c>
      <c r="E15">
        <v>166.34262000000001</v>
      </c>
      <c r="F15">
        <v>63.567474400000002</v>
      </c>
      <c r="G15">
        <v>43.749972100000001</v>
      </c>
      <c r="H15">
        <v>5.7052364100000004</v>
      </c>
      <c r="I15">
        <v>4.2275887499999998</v>
      </c>
      <c r="J15" s="1">
        <v>1.09922316E-18</v>
      </c>
      <c r="K15">
        <v>31.809654800000001</v>
      </c>
      <c r="L15">
        <v>52892.5075</v>
      </c>
      <c r="M15">
        <v>43.75</v>
      </c>
      <c r="N15">
        <v>37.5</v>
      </c>
      <c r="O15">
        <v>49918.75</v>
      </c>
      <c r="P15">
        <v>50000</v>
      </c>
      <c r="Q15">
        <v>53.682797299999997</v>
      </c>
      <c r="R15">
        <v>52924.317199999998</v>
      </c>
      <c r="S15" s="3">
        <f t="shared" si="0"/>
        <v>99.999936228571443</v>
      </c>
      <c r="T15" s="3">
        <f t="shared" si="0"/>
        <v>15.21396376</v>
      </c>
    </row>
    <row r="16" spans="1:20" x14ac:dyDescent="0.3">
      <c r="A16">
        <v>13</v>
      </c>
      <c r="B16" t="s">
        <v>9</v>
      </c>
      <c r="D16">
        <v>3.1</v>
      </c>
      <c r="E16">
        <v>166.354489</v>
      </c>
      <c r="F16">
        <v>68.878544300000001</v>
      </c>
      <c r="G16">
        <v>43.75</v>
      </c>
      <c r="H16">
        <v>7.9637307399999999</v>
      </c>
      <c r="I16">
        <v>5.5054095299999997</v>
      </c>
      <c r="J16" s="1">
        <v>5.6246553899999999E-19</v>
      </c>
      <c r="K16">
        <v>29.551159299999998</v>
      </c>
      <c r="L16">
        <v>52891.229700000004</v>
      </c>
      <c r="M16">
        <v>43.75</v>
      </c>
      <c r="N16">
        <v>37.5</v>
      </c>
      <c r="O16">
        <v>49918.75</v>
      </c>
      <c r="P16">
        <v>50000</v>
      </c>
      <c r="Q16">
        <v>57.219140299999999</v>
      </c>
      <c r="R16">
        <v>52920.780899999998</v>
      </c>
      <c r="S16" s="3">
        <f t="shared" si="0"/>
        <v>100</v>
      </c>
      <c r="T16" s="3">
        <f t="shared" si="0"/>
        <v>21.236615306666668</v>
      </c>
    </row>
    <row r="17" spans="1:20" x14ac:dyDescent="0.3">
      <c r="A17">
        <v>14</v>
      </c>
      <c r="B17" t="s">
        <v>9</v>
      </c>
      <c r="D17">
        <v>3.2</v>
      </c>
      <c r="E17">
        <v>166.36630400000001</v>
      </c>
      <c r="F17">
        <v>80.688191500000002</v>
      </c>
      <c r="G17">
        <v>43.749988000000002</v>
      </c>
      <c r="H17">
        <v>10.2126155</v>
      </c>
      <c r="I17">
        <v>8.0302447899999994</v>
      </c>
      <c r="J17" s="1">
        <v>3.0193636400000001E-19</v>
      </c>
      <c r="K17">
        <v>27.302273599999999</v>
      </c>
      <c r="L17">
        <v>52888.704899999997</v>
      </c>
      <c r="M17">
        <v>43.75</v>
      </c>
      <c r="N17">
        <v>37.5</v>
      </c>
      <c r="O17">
        <v>49918.75</v>
      </c>
      <c r="P17">
        <v>50000</v>
      </c>
      <c r="Q17">
        <v>61.992848299999999</v>
      </c>
      <c r="R17">
        <v>52916.007100000003</v>
      </c>
      <c r="S17" s="3">
        <f t="shared" si="0"/>
        <v>99.999972571428572</v>
      </c>
      <c r="T17" s="3">
        <f t="shared" si="0"/>
        <v>27.233641333333335</v>
      </c>
    </row>
    <row r="18" spans="1:20" x14ac:dyDescent="0.3">
      <c r="A18">
        <v>15</v>
      </c>
      <c r="B18" t="s">
        <v>9</v>
      </c>
      <c r="D18">
        <v>3.3</v>
      </c>
      <c r="E18">
        <v>166.377949</v>
      </c>
      <c r="F18">
        <v>99.815398200000004</v>
      </c>
      <c r="G18">
        <v>43.749989200000002</v>
      </c>
      <c r="H18">
        <v>12.430634700000001</v>
      </c>
      <c r="I18">
        <v>13.910321</v>
      </c>
      <c r="J18" s="1">
        <v>1.75413377E-19</v>
      </c>
      <c r="K18">
        <v>25.084253100000002</v>
      </c>
      <c r="L18">
        <v>52882.824800000002</v>
      </c>
      <c r="M18">
        <v>43.75</v>
      </c>
      <c r="N18">
        <v>37.5</v>
      </c>
      <c r="O18">
        <v>49918.75</v>
      </c>
      <c r="P18">
        <v>50000</v>
      </c>
      <c r="Q18">
        <v>70.090944899999997</v>
      </c>
      <c r="R18">
        <v>52907.909099999997</v>
      </c>
      <c r="S18" s="3">
        <f t="shared" si="0"/>
        <v>99.99997531428572</v>
      </c>
      <c r="T18" s="3">
        <f t="shared" si="0"/>
        <v>33.148359200000002</v>
      </c>
    </row>
    <row r="19" spans="1:20" x14ac:dyDescent="0.3">
      <c r="A19">
        <v>16</v>
      </c>
      <c r="B19" t="s">
        <v>9</v>
      </c>
      <c r="D19">
        <v>3.4</v>
      </c>
      <c r="E19">
        <v>166.38940600000001</v>
      </c>
      <c r="F19">
        <v>125.820689</v>
      </c>
      <c r="G19">
        <v>43.749997800000003</v>
      </c>
      <c r="H19">
        <v>14.618026</v>
      </c>
      <c r="I19">
        <v>32.794079400000001</v>
      </c>
      <c r="J19" s="1">
        <v>3.79519885E-20</v>
      </c>
      <c r="K19">
        <v>22.896864300000001</v>
      </c>
      <c r="L19">
        <v>52863.940999999999</v>
      </c>
      <c r="M19">
        <v>43.75</v>
      </c>
      <c r="N19">
        <v>37.5</v>
      </c>
      <c r="O19">
        <v>49918.75</v>
      </c>
      <c r="P19">
        <v>50000</v>
      </c>
      <c r="Q19">
        <v>91.162103200000004</v>
      </c>
      <c r="R19">
        <v>52886.837899999999</v>
      </c>
      <c r="S19" s="3">
        <f t="shared" si="0"/>
        <v>99.999994971428578</v>
      </c>
      <c r="T19" s="3">
        <f t="shared" si="0"/>
        <v>38.981402666666668</v>
      </c>
    </row>
    <row r="20" spans="1:20" x14ac:dyDescent="0.3">
      <c r="A20">
        <v>17</v>
      </c>
      <c r="B20" t="s">
        <v>9</v>
      </c>
      <c r="D20">
        <v>3.5</v>
      </c>
      <c r="E20">
        <v>166.40094099999999</v>
      </c>
      <c r="F20">
        <v>149.73519200000001</v>
      </c>
      <c r="G20">
        <v>43.749996299999999</v>
      </c>
      <c r="H20">
        <v>16.843017199999998</v>
      </c>
      <c r="I20">
        <v>113.690916</v>
      </c>
      <c r="J20" s="1">
        <v>5.7431204200000005E-23</v>
      </c>
      <c r="K20">
        <v>20.671873000000001</v>
      </c>
      <c r="L20">
        <v>52783.044199999997</v>
      </c>
      <c r="M20">
        <v>43.75</v>
      </c>
      <c r="N20">
        <v>37.5</v>
      </c>
      <c r="O20">
        <v>49918.75</v>
      </c>
      <c r="P20">
        <v>50000</v>
      </c>
      <c r="Q20">
        <v>174.28393</v>
      </c>
      <c r="R20">
        <v>52803.716099999998</v>
      </c>
      <c r="S20" s="3">
        <f t="shared" si="0"/>
        <v>99.999991542857146</v>
      </c>
      <c r="T20" s="3">
        <f t="shared" si="0"/>
        <v>44.914712533333329</v>
      </c>
    </row>
    <row r="21" spans="1:20" x14ac:dyDescent="0.3">
      <c r="A21">
        <v>18</v>
      </c>
      <c r="B21" t="s">
        <v>9</v>
      </c>
      <c r="D21">
        <v>3.6</v>
      </c>
      <c r="E21">
        <v>166.412586</v>
      </c>
      <c r="F21">
        <v>157.950389</v>
      </c>
      <c r="G21">
        <v>43.75</v>
      </c>
      <c r="H21">
        <v>19.1101645</v>
      </c>
      <c r="I21">
        <v>274.93850300000003</v>
      </c>
      <c r="J21" s="1">
        <v>1.00555457E-19</v>
      </c>
      <c r="K21">
        <v>18.404725500000001</v>
      </c>
      <c r="L21">
        <v>52621.796600000001</v>
      </c>
      <c r="M21">
        <v>43.75</v>
      </c>
      <c r="N21">
        <v>37.5</v>
      </c>
      <c r="O21">
        <v>49918.75</v>
      </c>
      <c r="P21">
        <v>50000</v>
      </c>
      <c r="Q21">
        <v>337.79866800000002</v>
      </c>
      <c r="R21">
        <v>52640.201300000001</v>
      </c>
      <c r="S21" s="3">
        <f t="shared" ref="S21:T46" si="1">100*G21/M21</f>
        <v>100</v>
      </c>
      <c r="T21" s="3">
        <f t="shared" si="1"/>
        <v>50.960438666666668</v>
      </c>
    </row>
    <row r="22" spans="1:20" x14ac:dyDescent="0.3">
      <c r="A22">
        <v>19</v>
      </c>
      <c r="B22" t="s">
        <v>9</v>
      </c>
      <c r="D22">
        <v>3.7</v>
      </c>
      <c r="E22">
        <v>166.42381900000001</v>
      </c>
      <c r="F22">
        <v>160.56937600000001</v>
      </c>
      <c r="G22">
        <v>43.749997299999997</v>
      </c>
      <c r="H22">
        <v>21.293040399999999</v>
      </c>
      <c r="I22">
        <v>458.09816999999998</v>
      </c>
      <c r="J22" s="1">
        <v>7.9424080999999997E-23</v>
      </c>
      <c r="K22">
        <v>16.221849800000001</v>
      </c>
      <c r="L22">
        <v>52438.636899999998</v>
      </c>
      <c r="M22">
        <v>43.75</v>
      </c>
      <c r="N22">
        <v>37.5</v>
      </c>
      <c r="O22">
        <v>49918.75</v>
      </c>
      <c r="P22">
        <v>50000</v>
      </c>
      <c r="Q22">
        <v>523.14120800000001</v>
      </c>
      <c r="R22">
        <v>52454.858800000002</v>
      </c>
      <c r="S22" s="3">
        <f t="shared" si="1"/>
        <v>99.999993828571419</v>
      </c>
      <c r="T22" s="3">
        <f t="shared" si="1"/>
        <v>56.781441066666666</v>
      </c>
    </row>
    <row r="23" spans="1:20" x14ac:dyDescent="0.3">
      <c r="A23">
        <v>20</v>
      </c>
      <c r="B23" t="s">
        <v>9</v>
      </c>
      <c r="D23">
        <v>3.8</v>
      </c>
      <c r="E23">
        <v>166.43442400000001</v>
      </c>
      <c r="F23">
        <v>161.76886999999999</v>
      </c>
      <c r="G23">
        <v>43.749999699999996</v>
      </c>
      <c r="H23">
        <v>23.344524700000001</v>
      </c>
      <c r="I23">
        <v>646.62679700000001</v>
      </c>
      <c r="J23" s="1">
        <v>8.9298427800000004E-21</v>
      </c>
      <c r="K23">
        <v>14.1703653</v>
      </c>
      <c r="L23">
        <v>52250.1083</v>
      </c>
      <c r="M23">
        <v>43.75</v>
      </c>
      <c r="N23">
        <v>37.5</v>
      </c>
      <c r="O23">
        <v>49918.75</v>
      </c>
      <c r="P23">
        <v>50000</v>
      </c>
      <c r="Q23">
        <v>713.72132099999999</v>
      </c>
      <c r="R23">
        <v>52264.278700000003</v>
      </c>
      <c r="S23" s="3">
        <f t="shared" si="1"/>
        <v>99.999999314285716</v>
      </c>
      <c r="T23" s="3">
        <f t="shared" si="1"/>
        <v>62.252065866666669</v>
      </c>
    </row>
    <row r="24" spans="1:20" x14ac:dyDescent="0.3">
      <c r="A24">
        <v>21</v>
      </c>
      <c r="B24" t="s">
        <v>9</v>
      </c>
      <c r="D24">
        <v>3.9</v>
      </c>
      <c r="E24">
        <v>166.44429199999999</v>
      </c>
      <c r="F24">
        <v>162.450525</v>
      </c>
      <c r="G24">
        <v>43.749999899999999</v>
      </c>
      <c r="H24">
        <v>25.243969700000001</v>
      </c>
      <c r="I24">
        <v>837.23846800000001</v>
      </c>
      <c r="J24" s="1">
        <v>6.1977580799999998E-21</v>
      </c>
      <c r="K24">
        <v>12.2709203</v>
      </c>
      <c r="L24">
        <v>52059.496599999999</v>
      </c>
      <c r="M24">
        <v>43.75</v>
      </c>
      <c r="N24">
        <v>37.5</v>
      </c>
      <c r="O24">
        <v>49918.75</v>
      </c>
      <c r="P24">
        <v>50000</v>
      </c>
      <c r="Q24">
        <v>906.232437</v>
      </c>
      <c r="R24">
        <v>52071.767599999999</v>
      </c>
      <c r="S24" s="3">
        <f t="shared" si="1"/>
        <v>99.999999771428577</v>
      </c>
      <c r="T24" s="3">
        <f t="shared" si="1"/>
        <v>67.317252533333345</v>
      </c>
    </row>
    <row r="25" spans="1:20" x14ac:dyDescent="0.3">
      <c r="A25">
        <v>22</v>
      </c>
      <c r="B25" t="s">
        <v>9</v>
      </c>
      <c r="D25">
        <v>4</v>
      </c>
      <c r="E25">
        <v>166.45334800000001</v>
      </c>
      <c r="F25">
        <v>162.89102399999999</v>
      </c>
      <c r="G25">
        <v>43.75</v>
      </c>
      <c r="H25">
        <v>26.978715900000001</v>
      </c>
      <c r="I25">
        <v>1028.95279</v>
      </c>
      <c r="J25" s="1">
        <v>4.6644354399999998E-21</v>
      </c>
      <c r="K25">
        <v>10.5361742</v>
      </c>
      <c r="L25">
        <v>51867.782299999999</v>
      </c>
      <c r="M25">
        <v>43.75</v>
      </c>
      <c r="N25">
        <v>37.5</v>
      </c>
      <c r="O25">
        <v>49918.75</v>
      </c>
      <c r="P25">
        <v>50000</v>
      </c>
      <c r="Q25">
        <v>1099.6815099999999</v>
      </c>
      <c r="R25">
        <v>51878.318500000001</v>
      </c>
      <c r="S25" s="3">
        <f t="shared" si="1"/>
        <v>100</v>
      </c>
      <c r="T25" s="3">
        <f t="shared" si="1"/>
        <v>71.943242400000003</v>
      </c>
    </row>
    <row r="26" spans="1:20" x14ac:dyDescent="0.3">
      <c r="A26">
        <v>23</v>
      </c>
      <c r="B26" t="s">
        <v>9</v>
      </c>
      <c r="D26">
        <v>4.0999999999999996</v>
      </c>
      <c r="E26">
        <v>166.461547</v>
      </c>
      <c r="F26">
        <v>163.20075</v>
      </c>
      <c r="G26">
        <v>43.75</v>
      </c>
      <c r="H26">
        <v>28.541841900000001</v>
      </c>
      <c r="I26">
        <v>1221.3816300000001</v>
      </c>
      <c r="J26" s="1">
        <v>8.0731493899999999E-21</v>
      </c>
      <c r="K26">
        <v>8.9730480900000007</v>
      </c>
      <c r="L26">
        <v>51675.353499999997</v>
      </c>
      <c r="M26">
        <v>43.75</v>
      </c>
      <c r="N26">
        <v>37.5</v>
      </c>
      <c r="O26">
        <v>49918.75</v>
      </c>
      <c r="P26">
        <v>50000</v>
      </c>
      <c r="Q26">
        <v>1293.6734799999999</v>
      </c>
      <c r="R26">
        <v>51684.326500000003</v>
      </c>
      <c r="S26" s="3">
        <f t="shared" si="1"/>
        <v>100</v>
      </c>
      <c r="T26" s="3">
        <f t="shared" si="1"/>
        <v>76.111578399999999</v>
      </c>
    </row>
    <row r="27" spans="1:20" x14ac:dyDescent="0.3">
      <c r="A27">
        <v>24</v>
      </c>
      <c r="B27" t="s">
        <v>9</v>
      </c>
      <c r="D27">
        <v>4.2</v>
      </c>
      <c r="E27">
        <v>166.46887100000001</v>
      </c>
      <c r="F27">
        <v>163.43185399999999</v>
      </c>
      <c r="G27">
        <v>43.75</v>
      </c>
      <c r="H27">
        <v>29.9318138</v>
      </c>
      <c r="I27">
        <v>1414.3383200000001</v>
      </c>
      <c r="J27" s="1">
        <v>1.2304521400000001E-20</v>
      </c>
      <c r="K27">
        <v>7.5830761799999999</v>
      </c>
      <c r="L27">
        <v>51482.396800000002</v>
      </c>
      <c r="M27">
        <v>43.75</v>
      </c>
      <c r="N27">
        <v>37.5</v>
      </c>
      <c r="O27">
        <v>49918.75</v>
      </c>
      <c r="P27">
        <v>50000</v>
      </c>
      <c r="Q27">
        <v>1488.0201300000001</v>
      </c>
      <c r="R27">
        <v>51489.979899999998</v>
      </c>
      <c r="S27" s="3">
        <f t="shared" si="1"/>
        <v>100</v>
      </c>
      <c r="T27" s="3">
        <f t="shared" si="1"/>
        <v>79.818170133333339</v>
      </c>
    </row>
    <row r="28" spans="1:20" x14ac:dyDescent="0.3">
      <c r="A28">
        <v>25</v>
      </c>
      <c r="B28" t="s">
        <v>9</v>
      </c>
      <c r="D28">
        <v>4.3</v>
      </c>
      <c r="E28">
        <v>166.47533100000001</v>
      </c>
      <c r="F28">
        <v>163.611997</v>
      </c>
      <c r="G28">
        <v>43.75</v>
      </c>
      <c r="H28">
        <v>31.152116199999998</v>
      </c>
      <c r="I28">
        <v>1607.71747</v>
      </c>
      <c r="J28" s="1">
        <v>6.1488712899999998E-21</v>
      </c>
      <c r="K28">
        <v>6.3627737900000003</v>
      </c>
      <c r="L28">
        <v>51289.017599999999</v>
      </c>
      <c r="M28">
        <v>43.75</v>
      </c>
      <c r="N28">
        <v>37.5</v>
      </c>
      <c r="O28">
        <v>49918.75</v>
      </c>
      <c r="P28">
        <v>50000</v>
      </c>
      <c r="Q28">
        <v>1682.61958</v>
      </c>
      <c r="R28">
        <v>51295.380400000002</v>
      </c>
      <c r="S28" s="3">
        <f t="shared" si="1"/>
        <v>100</v>
      </c>
      <c r="T28" s="3">
        <f t="shared" si="1"/>
        <v>83.072309866666671</v>
      </c>
    </row>
    <row r="29" spans="1:20" x14ac:dyDescent="0.3">
      <c r="A29">
        <v>26</v>
      </c>
      <c r="B29" t="s">
        <v>9</v>
      </c>
      <c r="D29">
        <v>4.4000000000000004</v>
      </c>
      <c r="E29">
        <v>166.48095900000001</v>
      </c>
      <c r="F29">
        <v>163.757139</v>
      </c>
      <c r="G29">
        <v>43.75</v>
      </c>
      <c r="H29">
        <v>32.210572599999999</v>
      </c>
      <c r="I29">
        <v>1801.4503400000001</v>
      </c>
      <c r="J29" s="1">
        <v>7.90094255E-22</v>
      </c>
      <c r="K29">
        <v>5.3043173899999996</v>
      </c>
      <c r="L29">
        <v>51095.284800000001</v>
      </c>
      <c r="M29">
        <v>43.75</v>
      </c>
      <c r="N29">
        <v>37.5</v>
      </c>
      <c r="O29">
        <v>49918.75</v>
      </c>
      <c r="P29">
        <v>50000</v>
      </c>
      <c r="Q29">
        <v>1877.4109100000001</v>
      </c>
      <c r="R29">
        <v>51100.589099999997</v>
      </c>
      <c r="S29" s="3">
        <f t="shared" si="1"/>
        <v>100</v>
      </c>
      <c r="T29" s="3">
        <f t="shared" si="1"/>
        <v>85.894860266666669</v>
      </c>
    </row>
    <row r="30" spans="1:20" x14ac:dyDescent="0.3">
      <c r="A30">
        <v>27</v>
      </c>
      <c r="B30" t="s">
        <v>9</v>
      </c>
      <c r="D30">
        <v>4.5</v>
      </c>
      <c r="E30">
        <v>166.48580699999999</v>
      </c>
      <c r="F30">
        <v>163.877095</v>
      </c>
      <c r="G30">
        <v>43.75</v>
      </c>
      <c r="H30">
        <v>33.118396500000003</v>
      </c>
      <c r="I30">
        <v>1995.48614</v>
      </c>
      <c r="J30" s="1">
        <v>7.8749012999999999E-28</v>
      </c>
      <c r="K30">
        <v>4.3964934700000002</v>
      </c>
      <c r="L30">
        <v>50901.249000000003</v>
      </c>
      <c r="M30">
        <v>43.75</v>
      </c>
      <c r="N30">
        <v>37.5</v>
      </c>
      <c r="O30">
        <v>49918.75</v>
      </c>
      <c r="P30">
        <v>50000</v>
      </c>
      <c r="Q30">
        <v>2072.3545300000001</v>
      </c>
      <c r="R30">
        <v>50905.645499999999</v>
      </c>
      <c r="S30" s="3">
        <f t="shared" si="1"/>
        <v>100</v>
      </c>
      <c r="T30" s="3">
        <f t="shared" si="1"/>
        <v>88.315724000000003</v>
      </c>
    </row>
    <row r="31" spans="1:20" x14ac:dyDescent="0.3">
      <c r="A31">
        <v>28</v>
      </c>
      <c r="B31" t="s">
        <v>9</v>
      </c>
      <c r="D31">
        <v>4.5999999999999996</v>
      </c>
      <c r="E31">
        <v>166.48993999999999</v>
      </c>
      <c r="F31">
        <v>163.97822199999999</v>
      </c>
      <c r="G31">
        <v>43.75</v>
      </c>
      <c r="H31">
        <v>33.889111100000001</v>
      </c>
      <c r="I31">
        <v>2189.7837</v>
      </c>
      <c r="J31" s="1">
        <v>7.8485497999999997E-31</v>
      </c>
      <c r="K31">
        <v>3.62577887</v>
      </c>
      <c r="L31">
        <v>50706.951399999998</v>
      </c>
      <c r="M31">
        <v>43.75</v>
      </c>
      <c r="N31">
        <v>37.5</v>
      </c>
      <c r="O31">
        <v>49918.75</v>
      </c>
      <c r="P31">
        <v>50000</v>
      </c>
      <c r="Q31">
        <v>2267.42281</v>
      </c>
      <c r="R31">
        <v>50710.5772</v>
      </c>
      <c r="S31" s="3">
        <f t="shared" si="1"/>
        <v>100</v>
      </c>
      <c r="T31" s="3">
        <f t="shared" si="1"/>
        <v>90.370962933333331</v>
      </c>
    </row>
    <row r="32" spans="1:20" x14ac:dyDescent="0.3">
      <c r="A32">
        <v>29</v>
      </c>
      <c r="B32" t="s">
        <v>9</v>
      </c>
      <c r="D32">
        <v>4.7</v>
      </c>
      <c r="E32">
        <v>166.49343200000001</v>
      </c>
      <c r="F32">
        <v>164.064819</v>
      </c>
      <c r="G32">
        <v>43.75</v>
      </c>
      <c r="H32">
        <v>34.537484200000002</v>
      </c>
      <c r="I32">
        <v>2384.3077800000001</v>
      </c>
      <c r="J32" s="1">
        <v>3.9918193800000001E-22</v>
      </c>
      <c r="K32">
        <v>2.9774057799999998</v>
      </c>
      <c r="L32">
        <v>50512.427300000003</v>
      </c>
      <c r="M32">
        <v>43.75</v>
      </c>
      <c r="N32">
        <v>37.5</v>
      </c>
      <c r="O32">
        <v>49918.75</v>
      </c>
      <c r="P32">
        <v>50000</v>
      </c>
      <c r="Q32">
        <v>2462.5952699999998</v>
      </c>
      <c r="R32">
        <v>50515.404699999999</v>
      </c>
      <c r="S32" s="3">
        <f t="shared" si="1"/>
        <v>100</v>
      </c>
      <c r="T32" s="3">
        <f t="shared" si="1"/>
        <v>92.099957866666671</v>
      </c>
    </row>
    <row r="33" spans="1:20" x14ac:dyDescent="0.3">
      <c r="A33">
        <v>30</v>
      </c>
      <c r="B33" t="s">
        <v>9</v>
      </c>
      <c r="D33">
        <v>4.8</v>
      </c>
      <c r="E33">
        <v>166.49635799999999</v>
      </c>
      <c r="F33">
        <v>164.139905</v>
      </c>
      <c r="G33">
        <v>43.75</v>
      </c>
      <c r="H33">
        <v>35.078592899999997</v>
      </c>
      <c r="I33">
        <v>2579.0273900000002</v>
      </c>
      <c r="J33" s="1">
        <v>3.9781105E-25</v>
      </c>
      <c r="K33">
        <v>2.4362970499999999</v>
      </c>
      <c r="L33">
        <v>50317.707699999999</v>
      </c>
      <c r="M33">
        <v>43.75</v>
      </c>
      <c r="N33">
        <v>37.5</v>
      </c>
      <c r="O33">
        <v>49918.75</v>
      </c>
      <c r="P33">
        <v>50000</v>
      </c>
      <c r="Q33">
        <v>2657.85599</v>
      </c>
      <c r="R33">
        <v>50320.144</v>
      </c>
      <c r="S33" s="3">
        <f t="shared" si="1"/>
        <v>100</v>
      </c>
      <c r="T33" s="3">
        <f t="shared" si="1"/>
        <v>93.542914400000001</v>
      </c>
    </row>
    <row r="34" spans="1:20" x14ac:dyDescent="0.3">
      <c r="A34">
        <v>31</v>
      </c>
      <c r="B34" t="s">
        <v>9</v>
      </c>
      <c r="D34">
        <v>4.9000000000000004</v>
      </c>
      <c r="E34">
        <v>166.49879300000001</v>
      </c>
      <c r="F34">
        <v>164.205671</v>
      </c>
      <c r="G34">
        <v>43.75</v>
      </c>
      <c r="H34">
        <v>35.5270844</v>
      </c>
      <c r="I34">
        <v>2773.9150800000002</v>
      </c>
      <c r="J34" s="1">
        <v>3.9762213899999998E-25</v>
      </c>
      <c r="K34">
        <v>1.9878056099999999</v>
      </c>
      <c r="L34">
        <v>50122.82</v>
      </c>
      <c r="M34">
        <v>43.75</v>
      </c>
      <c r="N34">
        <v>37.5</v>
      </c>
      <c r="O34">
        <v>49918.75</v>
      </c>
      <c r="P34">
        <v>50000</v>
      </c>
      <c r="Q34">
        <v>2853.1921600000001</v>
      </c>
      <c r="R34">
        <v>50124.807800000002</v>
      </c>
      <c r="S34" s="3">
        <f t="shared" si="1"/>
        <v>100</v>
      </c>
      <c r="T34" s="3">
        <f t="shared" si="1"/>
        <v>94.738891733333332</v>
      </c>
    </row>
    <row r="35" spans="1:20" x14ac:dyDescent="0.3">
      <c r="A35">
        <v>32</v>
      </c>
      <c r="B35" t="s">
        <v>9</v>
      </c>
      <c r="D35">
        <v>5</v>
      </c>
      <c r="E35">
        <v>166.50080800000001</v>
      </c>
      <c r="F35">
        <v>164.26375400000001</v>
      </c>
      <c r="G35">
        <v>43.75</v>
      </c>
      <c r="H35">
        <v>35.8966523</v>
      </c>
      <c r="I35">
        <v>2968.94659</v>
      </c>
      <c r="J35" s="1">
        <v>7.5676454799999999E-22</v>
      </c>
      <c r="K35">
        <v>1.61823769</v>
      </c>
      <c r="L35">
        <v>49927.788500000002</v>
      </c>
      <c r="M35">
        <v>43.75</v>
      </c>
      <c r="N35">
        <v>37.5</v>
      </c>
      <c r="O35">
        <v>49918.75</v>
      </c>
      <c r="P35">
        <v>50000</v>
      </c>
      <c r="Q35">
        <v>3048.5932400000002</v>
      </c>
      <c r="R35">
        <v>49929.406799999997</v>
      </c>
      <c r="S35" s="3">
        <f t="shared" si="1"/>
        <v>100</v>
      </c>
      <c r="T35" s="3">
        <f t="shared" si="1"/>
        <v>95.724406133333332</v>
      </c>
    </row>
    <row r="36" spans="1:20" x14ac:dyDescent="0.3">
      <c r="A36">
        <v>33</v>
      </c>
      <c r="B36" t="s">
        <v>9</v>
      </c>
      <c r="D36">
        <v>5.0999999999999996</v>
      </c>
      <c r="E36">
        <v>166.502466</v>
      </c>
      <c r="F36">
        <v>164.31540899999999</v>
      </c>
      <c r="G36">
        <v>43.75</v>
      </c>
      <c r="H36">
        <v>36.199715900000001</v>
      </c>
      <c r="I36">
        <v>3164.1006499999999</v>
      </c>
      <c r="J36" s="1">
        <v>1.46465462E-22</v>
      </c>
      <c r="K36">
        <v>1.3151740599999999</v>
      </c>
      <c r="L36">
        <v>49732.6345</v>
      </c>
      <c r="M36">
        <v>43.75</v>
      </c>
      <c r="N36">
        <v>37.5</v>
      </c>
      <c r="O36">
        <v>49918.75</v>
      </c>
      <c r="P36">
        <v>50000</v>
      </c>
      <c r="Q36">
        <v>3244.0503600000002</v>
      </c>
      <c r="R36">
        <v>49733.9496</v>
      </c>
      <c r="S36" s="3">
        <f t="shared" si="1"/>
        <v>100</v>
      </c>
      <c r="T36" s="3">
        <f t="shared" si="1"/>
        <v>96.532575733333331</v>
      </c>
    </row>
    <row r="37" spans="1:20" x14ac:dyDescent="0.3">
      <c r="A37">
        <v>34</v>
      </c>
      <c r="B37" t="s">
        <v>9</v>
      </c>
      <c r="D37">
        <v>5.2</v>
      </c>
      <c r="E37">
        <v>166.503827</v>
      </c>
      <c r="F37">
        <v>164.36162400000001</v>
      </c>
      <c r="G37">
        <v>43.75</v>
      </c>
      <c r="H37">
        <v>36.447266800000001</v>
      </c>
      <c r="I37">
        <v>3359.3587900000002</v>
      </c>
      <c r="J37" s="1">
        <v>3.7689616200000002E-22</v>
      </c>
      <c r="K37">
        <v>1.06762325</v>
      </c>
      <c r="L37">
        <v>49537.376300000004</v>
      </c>
      <c r="M37">
        <v>43.75</v>
      </c>
      <c r="N37">
        <v>37.5</v>
      </c>
      <c r="O37">
        <v>49918.75</v>
      </c>
      <c r="P37">
        <v>50000</v>
      </c>
      <c r="Q37">
        <v>3439.5560599999999</v>
      </c>
      <c r="R37">
        <v>49538.443899999998</v>
      </c>
      <c r="S37" s="3">
        <f t="shared" si="1"/>
        <v>100</v>
      </c>
      <c r="T37" s="3">
        <f t="shared" si="1"/>
        <v>97.192711466666665</v>
      </c>
    </row>
    <row r="38" spans="1:20" x14ac:dyDescent="0.3">
      <c r="A38">
        <v>35</v>
      </c>
      <c r="B38" t="s">
        <v>9</v>
      </c>
      <c r="D38">
        <v>5.3</v>
      </c>
      <c r="E38">
        <v>166.50493900000001</v>
      </c>
      <c r="F38">
        <v>164.40318500000001</v>
      </c>
      <c r="G38">
        <v>43.75</v>
      </c>
      <c r="H38">
        <v>36.648842100000003</v>
      </c>
      <c r="I38">
        <v>3554.7051299999998</v>
      </c>
      <c r="J38" s="1">
        <v>3.75535481E-28</v>
      </c>
      <c r="K38">
        <v>0.86604785200000001</v>
      </c>
      <c r="L38">
        <v>49342.03</v>
      </c>
      <c r="M38">
        <v>43.75</v>
      </c>
      <c r="N38">
        <v>37.5</v>
      </c>
      <c r="O38">
        <v>49918.75</v>
      </c>
      <c r="P38">
        <v>50000</v>
      </c>
      <c r="Q38">
        <v>3635.1039700000001</v>
      </c>
      <c r="R38">
        <v>49342.896000000001</v>
      </c>
      <c r="S38" s="3">
        <f t="shared" si="1"/>
        <v>100</v>
      </c>
      <c r="T38" s="3">
        <f t="shared" si="1"/>
        <v>97.730245600000003</v>
      </c>
    </row>
    <row r="39" spans="1:20" x14ac:dyDescent="0.3">
      <c r="A39">
        <v>36</v>
      </c>
      <c r="B39" t="s">
        <v>9</v>
      </c>
      <c r="D39">
        <v>5.4</v>
      </c>
      <c r="E39">
        <v>166.50584499999999</v>
      </c>
      <c r="F39">
        <v>164.44073399999999</v>
      </c>
      <c r="G39">
        <v>43.75</v>
      </c>
      <c r="H39">
        <v>36.812585900000002</v>
      </c>
      <c r="I39">
        <v>3750.1260699999998</v>
      </c>
      <c r="J39" s="1">
        <v>9.2978678300000002E-32</v>
      </c>
      <c r="K39">
        <v>0.70230405100000004</v>
      </c>
      <c r="L39">
        <v>49146.608999999997</v>
      </c>
      <c r="M39">
        <v>43.75</v>
      </c>
      <c r="N39">
        <v>37.5</v>
      </c>
      <c r="O39">
        <v>49918.75</v>
      </c>
      <c r="P39">
        <v>50000</v>
      </c>
      <c r="Q39">
        <v>3830.6886599999998</v>
      </c>
      <c r="R39">
        <v>49147.311300000001</v>
      </c>
      <c r="S39" s="3">
        <f t="shared" si="1"/>
        <v>100</v>
      </c>
      <c r="T39" s="3">
        <f t="shared" si="1"/>
        <v>98.166895733333348</v>
      </c>
    </row>
    <row r="40" spans="1:20" x14ac:dyDescent="0.3">
      <c r="A40">
        <v>37</v>
      </c>
      <c r="B40" t="s">
        <v>9</v>
      </c>
      <c r="D40">
        <v>5.5</v>
      </c>
      <c r="E40">
        <v>166.50658300000001</v>
      </c>
      <c r="F40">
        <v>164.47479899999999</v>
      </c>
      <c r="G40">
        <v>43.75</v>
      </c>
      <c r="H40">
        <v>36.945361900000002</v>
      </c>
      <c r="I40">
        <v>3945.6101399999998</v>
      </c>
      <c r="J40" s="1">
        <v>9.2608568200000002E-32</v>
      </c>
      <c r="K40">
        <v>0.56952808300000002</v>
      </c>
      <c r="L40">
        <v>48951.125</v>
      </c>
      <c r="M40">
        <v>43.75</v>
      </c>
      <c r="N40">
        <v>37.5</v>
      </c>
      <c r="O40">
        <v>49918.75</v>
      </c>
      <c r="P40">
        <v>50000</v>
      </c>
      <c r="Q40">
        <v>4026.3054999999999</v>
      </c>
      <c r="R40">
        <v>48951.694499999998</v>
      </c>
      <c r="S40" s="3">
        <f t="shared" si="1"/>
        <v>100</v>
      </c>
      <c r="T40" s="3">
        <f t="shared" si="1"/>
        <v>98.520965066666676</v>
      </c>
    </row>
    <row r="41" spans="1:20" x14ac:dyDescent="0.3">
      <c r="A41">
        <v>38</v>
      </c>
      <c r="B41" t="s">
        <v>9</v>
      </c>
      <c r="D41">
        <v>5.6</v>
      </c>
      <c r="E41">
        <v>166.507184</v>
      </c>
      <c r="F41">
        <v>164.505821</v>
      </c>
      <c r="G41">
        <v>43.75</v>
      </c>
      <c r="H41">
        <v>37.052894100000003</v>
      </c>
      <c r="I41">
        <v>4141.1476199999997</v>
      </c>
      <c r="J41" s="1">
        <v>2.3929997600000001E-23</v>
      </c>
      <c r="K41">
        <v>0.461995881</v>
      </c>
      <c r="L41">
        <v>48755.587500000001</v>
      </c>
      <c r="M41">
        <v>43.75</v>
      </c>
      <c r="N41">
        <v>37.5</v>
      </c>
      <c r="O41">
        <v>49918.75</v>
      </c>
      <c r="P41">
        <v>50000</v>
      </c>
      <c r="Q41">
        <v>4221.9505200000003</v>
      </c>
      <c r="R41">
        <v>48756.049500000001</v>
      </c>
      <c r="S41" s="3">
        <f t="shared" si="1"/>
        <v>100</v>
      </c>
      <c r="T41" s="3">
        <f t="shared" si="1"/>
        <v>98.807717600000004</v>
      </c>
    </row>
    <row r="42" spans="1:20" x14ac:dyDescent="0.3">
      <c r="A42">
        <v>39</v>
      </c>
      <c r="B42" t="s">
        <v>9</v>
      </c>
      <c r="D42">
        <v>5.7</v>
      </c>
      <c r="E42">
        <v>166.50767099999999</v>
      </c>
      <c r="F42">
        <v>164.53416899999999</v>
      </c>
      <c r="G42">
        <v>43.749955700000001</v>
      </c>
      <c r="H42">
        <v>37.139944900000003</v>
      </c>
      <c r="I42">
        <v>4336.7306099999996</v>
      </c>
      <c r="J42" s="1">
        <v>2.3840837000000001E-26</v>
      </c>
      <c r="K42">
        <v>0.374978278</v>
      </c>
      <c r="L42">
        <v>48560.004500000003</v>
      </c>
      <c r="M42">
        <v>43.75</v>
      </c>
      <c r="N42">
        <v>37.5</v>
      </c>
      <c r="O42">
        <v>49918.75</v>
      </c>
      <c r="P42">
        <v>50000</v>
      </c>
      <c r="Q42">
        <v>4417.6205099999997</v>
      </c>
      <c r="R42">
        <v>48560.379500000003</v>
      </c>
      <c r="S42" s="3">
        <f t="shared" si="1"/>
        <v>99.999898742857141</v>
      </c>
      <c r="T42" s="3">
        <f t="shared" si="1"/>
        <v>99.03985306666668</v>
      </c>
    </row>
    <row r="43" spans="1:20" x14ac:dyDescent="0.3">
      <c r="A43">
        <v>40</v>
      </c>
      <c r="B43" t="s">
        <v>9</v>
      </c>
      <c r="D43">
        <v>5.8</v>
      </c>
      <c r="E43">
        <v>166.50806700000001</v>
      </c>
      <c r="F43">
        <v>164.560159</v>
      </c>
      <c r="G43">
        <v>43.749962500000002</v>
      </c>
      <c r="H43">
        <v>37.210340700000003</v>
      </c>
      <c r="I43">
        <v>4532.3518199999999</v>
      </c>
      <c r="J43" s="1">
        <v>2.84369935E-20</v>
      </c>
      <c r="K43">
        <v>0.30457939299999998</v>
      </c>
      <c r="L43">
        <v>48364.383300000001</v>
      </c>
      <c r="M43">
        <v>43.75</v>
      </c>
      <c r="N43">
        <v>37.5</v>
      </c>
      <c r="O43">
        <v>49918.75</v>
      </c>
      <c r="P43">
        <v>50000</v>
      </c>
      <c r="Q43">
        <v>4613.3121199999996</v>
      </c>
      <c r="R43">
        <v>48364.687899999997</v>
      </c>
      <c r="S43" s="3">
        <f t="shared" si="1"/>
        <v>99.999914285714283</v>
      </c>
      <c r="T43" s="3">
        <f t="shared" si="1"/>
        <v>99.227575200000004</v>
      </c>
    </row>
    <row r="44" spans="1:20" x14ac:dyDescent="0.3">
      <c r="A44">
        <v>41</v>
      </c>
      <c r="B44" t="s">
        <v>9</v>
      </c>
      <c r="D44">
        <v>5.9</v>
      </c>
      <c r="E44">
        <v>166.50838899999999</v>
      </c>
      <c r="F44">
        <v>164.584059</v>
      </c>
      <c r="G44">
        <v>43.749967900000001</v>
      </c>
      <c r="H44">
        <v>37.267287500000002</v>
      </c>
      <c r="I44">
        <v>4728.0058499999996</v>
      </c>
      <c r="J44" s="1">
        <v>9.2143452000000001E-21</v>
      </c>
      <c r="K44">
        <v>0.24762980500000001</v>
      </c>
      <c r="L44">
        <v>48168.729299999999</v>
      </c>
      <c r="M44">
        <v>43.75</v>
      </c>
      <c r="N44">
        <v>37.5</v>
      </c>
      <c r="O44">
        <v>49918.75</v>
      </c>
      <c r="P44">
        <v>50000</v>
      </c>
      <c r="Q44">
        <v>4809.0231000000003</v>
      </c>
      <c r="R44">
        <v>48168.976900000001</v>
      </c>
      <c r="S44" s="3">
        <f t="shared" si="1"/>
        <v>99.99992662857143</v>
      </c>
      <c r="T44" s="3">
        <f t="shared" si="1"/>
        <v>99.379433333333338</v>
      </c>
    </row>
    <row r="45" spans="1:20" x14ac:dyDescent="0.3">
      <c r="A45">
        <v>42</v>
      </c>
      <c r="B45" t="s">
        <v>9</v>
      </c>
      <c r="D45">
        <v>6</v>
      </c>
      <c r="E45">
        <v>166.50864999999999</v>
      </c>
      <c r="F45">
        <v>164.606099</v>
      </c>
      <c r="G45">
        <v>43.749972300000003</v>
      </c>
      <c r="H45">
        <v>37.313367399999997</v>
      </c>
      <c r="I45">
        <v>4923.6879399999998</v>
      </c>
      <c r="J45" s="1">
        <v>9.1792903699999993E-27</v>
      </c>
      <c r="K45">
        <v>0.20154735300000001</v>
      </c>
      <c r="L45">
        <v>47973.047200000001</v>
      </c>
      <c r="M45">
        <v>43.75</v>
      </c>
      <c r="N45">
        <v>37.5</v>
      </c>
      <c r="O45">
        <v>49918.75</v>
      </c>
      <c r="P45">
        <v>50000</v>
      </c>
      <c r="Q45">
        <v>5004.7512800000004</v>
      </c>
      <c r="R45">
        <v>47973.248699999996</v>
      </c>
      <c r="S45" s="3">
        <f t="shared" si="1"/>
        <v>99.999936685714289</v>
      </c>
      <c r="T45" s="3">
        <f t="shared" si="1"/>
        <v>99.502313066666659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C8EAC-66B9-4454-BCE8-91825D5E0E18}">
  <dimension ref="A3:T45"/>
  <sheetViews>
    <sheetView workbookViewId="0">
      <selection activeCell="F4" sqref="F4"/>
    </sheetView>
  </sheetViews>
  <sheetFormatPr defaultRowHeight="14.4" x14ac:dyDescent="0.3"/>
  <cols>
    <col min="1" max="1" width="9.6640625" bestFit="1" customWidth="1"/>
    <col min="2" max="2" width="6.44140625" bestFit="1" customWidth="1"/>
    <col min="3" max="3" width="11.33203125" bestFit="1" customWidth="1"/>
    <col min="4" max="12" width="11" bestFit="1" customWidth="1"/>
    <col min="13" max="13" width="11.33203125" customWidth="1"/>
    <col min="14" max="15" width="11" bestFit="1" customWidth="1"/>
    <col min="19" max="19" width="12" bestFit="1" customWidth="1"/>
  </cols>
  <sheetData>
    <row r="3" spans="1:20" ht="100.8" x14ac:dyDescent="0.3">
      <c r="A3" t="s">
        <v>0</v>
      </c>
      <c r="B3" t="s">
        <v>1</v>
      </c>
      <c r="C3" t="s">
        <v>2</v>
      </c>
      <c r="D3" s="2" t="s">
        <v>3</v>
      </c>
      <c r="E3" s="2" t="s">
        <v>4</v>
      </c>
      <c r="F3" s="2" t="s">
        <v>5</v>
      </c>
      <c r="G3" s="2" t="s">
        <v>10</v>
      </c>
      <c r="H3" s="2" t="s">
        <v>11</v>
      </c>
      <c r="I3" s="2" t="s">
        <v>15</v>
      </c>
      <c r="J3" s="2" t="s">
        <v>12</v>
      </c>
      <c r="K3" s="2" t="s">
        <v>13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6</v>
      </c>
      <c r="Q3" s="2" t="s">
        <v>7</v>
      </c>
      <c r="R3" s="2" t="s">
        <v>8</v>
      </c>
      <c r="S3" s="2" t="s">
        <v>14</v>
      </c>
      <c r="T3" s="2" t="s">
        <v>20</v>
      </c>
    </row>
    <row r="4" spans="1:20" x14ac:dyDescent="0.3">
      <c r="A4">
        <v>1</v>
      </c>
      <c r="B4" t="s">
        <v>62</v>
      </c>
      <c r="D4">
        <v>0.5</v>
      </c>
      <c r="E4">
        <v>138.637462</v>
      </c>
      <c r="F4">
        <v>65.950377200000005</v>
      </c>
      <c r="G4" s="1">
        <v>8.0864095099999995E-36</v>
      </c>
      <c r="H4" s="1">
        <v>2.0775675700000001E-3</v>
      </c>
      <c r="I4" s="1">
        <v>2.07668662E-3</v>
      </c>
      <c r="J4">
        <v>129.90758700000001</v>
      </c>
      <c r="K4">
        <v>114.785552</v>
      </c>
      <c r="L4">
        <v>52869.650399999999</v>
      </c>
      <c r="M4">
        <v>87.5</v>
      </c>
      <c r="N4">
        <v>75</v>
      </c>
      <c r="O4">
        <v>49837.5</v>
      </c>
      <c r="P4">
        <v>50000</v>
      </c>
      <c r="Q4">
        <v>4.1542541999999997E-3</v>
      </c>
      <c r="R4">
        <v>53114.343500000003</v>
      </c>
      <c r="S4" s="3">
        <f>100*G4/M4</f>
        <v>9.2416108685714274E-36</v>
      </c>
      <c r="T4" s="3">
        <f>100*H4/N4</f>
        <v>2.7700900933333335E-3</v>
      </c>
    </row>
    <row r="5" spans="1:20" x14ac:dyDescent="0.3">
      <c r="A5">
        <v>2</v>
      </c>
      <c r="B5" t="s">
        <v>62</v>
      </c>
      <c r="D5">
        <v>2</v>
      </c>
      <c r="E5">
        <v>155.915648</v>
      </c>
      <c r="F5">
        <v>-79.736556800000002</v>
      </c>
      <c r="G5">
        <v>0.33242628499999999</v>
      </c>
      <c r="H5" s="1">
        <v>0.13779635300000001</v>
      </c>
      <c r="I5">
        <v>0.10595299499999999</v>
      </c>
      <c r="J5" s="1">
        <v>99.400642700000006</v>
      </c>
      <c r="K5">
        <v>104.600262</v>
      </c>
      <c r="L5">
        <v>52807.598899999997</v>
      </c>
      <c r="M5">
        <v>87.5</v>
      </c>
      <c r="N5">
        <v>75</v>
      </c>
      <c r="O5">
        <v>49837.5</v>
      </c>
      <c r="P5">
        <v>50000</v>
      </c>
      <c r="Q5">
        <v>0.57617563299999996</v>
      </c>
      <c r="R5">
        <v>53011.599800000004</v>
      </c>
      <c r="S5" s="3">
        <f t="shared" ref="S5:T20" si="0">100*G5/M5</f>
        <v>0.37991575428571434</v>
      </c>
      <c r="T5" s="3">
        <f t="shared" si="0"/>
        <v>0.18372847066666667</v>
      </c>
    </row>
    <row r="6" spans="1:20" x14ac:dyDescent="0.3">
      <c r="A6">
        <v>3</v>
      </c>
      <c r="B6" t="s">
        <v>62</v>
      </c>
      <c r="D6">
        <v>2.1</v>
      </c>
      <c r="E6">
        <v>165.44024099999999</v>
      </c>
      <c r="F6">
        <v>-28.320058100000001</v>
      </c>
      <c r="G6" s="1">
        <v>51.533740000000002</v>
      </c>
      <c r="H6" s="1">
        <v>2.1961478299999999E-4</v>
      </c>
      <c r="I6">
        <v>4.8761348599999996</v>
      </c>
      <c r="J6" s="1">
        <v>4.5869799100000002E-7</v>
      </c>
      <c r="K6">
        <v>205.56497400000001</v>
      </c>
      <c r="L6">
        <v>52820.336199999998</v>
      </c>
      <c r="M6">
        <v>87.5</v>
      </c>
      <c r="N6">
        <v>75</v>
      </c>
      <c r="O6">
        <v>49837.5</v>
      </c>
      <c r="P6">
        <v>50000</v>
      </c>
      <c r="Q6">
        <v>56.4100945</v>
      </c>
      <c r="R6">
        <v>53025.901100000003</v>
      </c>
      <c r="S6" s="3">
        <f t="shared" si="0"/>
        <v>58.895702857142858</v>
      </c>
      <c r="T6" s="3">
        <f t="shared" si="0"/>
        <v>2.9281971066666667E-4</v>
      </c>
    </row>
    <row r="7" spans="1:20" x14ac:dyDescent="0.3">
      <c r="A7">
        <v>4</v>
      </c>
      <c r="B7" t="s">
        <v>62</v>
      </c>
      <c r="D7">
        <v>2.2000000000000002</v>
      </c>
      <c r="E7">
        <v>166.49899199999999</v>
      </c>
      <c r="F7">
        <v>-4.8056422000000003</v>
      </c>
      <c r="G7" s="1">
        <v>102.352343</v>
      </c>
      <c r="H7" s="1">
        <v>13.417141900000001</v>
      </c>
      <c r="I7" s="1">
        <v>4.9918899999999997</v>
      </c>
      <c r="J7" s="1">
        <v>3.1093968400000003E-5</v>
      </c>
      <c r="K7">
        <v>2.8165911700000001</v>
      </c>
      <c r="L7">
        <v>71792.360499999995</v>
      </c>
      <c r="M7">
        <v>87.5</v>
      </c>
      <c r="N7">
        <v>75</v>
      </c>
      <c r="O7">
        <v>49837.5</v>
      </c>
      <c r="P7">
        <v>50000</v>
      </c>
      <c r="Q7" s="1">
        <v>120.761375</v>
      </c>
      <c r="R7">
        <v>71795.177100000001</v>
      </c>
      <c r="S7" s="3">
        <f t="shared" si="0"/>
        <v>116.97410628571429</v>
      </c>
      <c r="T7" s="3">
        <f t="shared" si="0"/>
        <v>17.889522533333334</v>
      </c>
    </row>
    <row r="8" spans="1:20" x14ac:dyDescent="0.3">
      <c r="A8">
        <v>5</v>
      </c>
      <c r="B8" t="s">
        <v>9</v>
      </c>
      <c r="D8">
        <v>2.2999999999999998</v>
      </c>
      <c r="E8">
        <v>160.57814300000001</v>
      </c>
      <c r="F8">
        <v>60.084828700000003</v>
      </c>
      <c r="G8">
        <v>29.8188529</v>
      </c>
      <c r="H8" s="1">
        <v>4.4661442899999998E-4</v>
      </c>
      <c r="I8">
        <v>0.90984461900000002</v>
      </c>
      <c r="J8" s="1">
        <v>57.681143300000002</v>
      </c>
      <c r="K8">
        <v>75.014443400000005</v>
      </c>
      <c r="L8">
        <v>52814.575299999997</v>
      </c>
      <c r="M8">
        <v>87.5</v>
      </c>
      <c r="N8">
        <v>75</v>
      </c>
      <c r="O8">
        <v>49837.5</v>
      </c>
      <c r="P8">
        <v>50000</v>
      </c>
      <c r="Q8">
        <v>30.7291442</v>
      </c>
      <c r="R8">
        <v>52947.270900000003</v>
      </c>
      <c r="S8" s="3">
        <f t="shared" si="0"/>
        <v>34.078689028571432</v>
      </c>
      <c r="T8" s="3">
        <f t="shared" si="0"/>
        <v>5.9548590533333335E-4</v>
      </c>
    </row>
    <row r="9" spans="1:20" x14ac:dyDescent="0.3">
      <c r="A9">
        <v>6</v>
      </c>
      <c r="B9" t="s">
        <v>9</v>
      </c>
      <c r="D9">
        <v>2.4</v>
      </c>
      <c r="E9">
        <v>162.185169</v>
      </c>
      <c r="F9">
        <v>60.143031000000001</v>
      </c>
      <c r="G9">
        <v>45.7576331</v>
      </c>
      <c r="H9" s="1">
        <v>7.0028505400000004E-4</v>
      </c>
      <c r="I9">
        <v>1.40048879</v>
      </c>
      <c r="J9" s="1">
        <v>41.742367000000002</v>
      </c>
      <c r="K9">
        <v>75.014189700000003</v>
      </c>
      <c r="L9">
        <v>52814.084600000002</v>
      </c>
      <c r="M9">
        <v>87.5</v>
      </c>
      <c r="N9">
        <v>75</v>
      </c>
      <c r="O9">
        <v>49837.5</v>
      </c>
      <c r="P9">
        <v>50000</v>
      </c>
      <c r="Q9">
        <v>47.158822200000003</v>
      </c>
      <c r="R9">
        <v>52930.841200000003</v>
      </c>
      <c r="S9" s="3">
        <f t="shared" si="0"/>
        <v>52.294437828571432</v>
      </c>
      <c r="T9" s="3">
        <f t="shared" si="0"/>
        <v>9.3371340533333349E-4</v>
      </c>
    </row>
    <row r="10" spans="1:20" x14ac:dyDescent="0.3">
      <c r="A10">
        <v>7</v>
      </c>
      <c r="B10" t="s">
        <v>9</v>
      </c>
      <c r="D10">
        <v>2.5</v>
      </c>
      <c r="E10">
        <v>163.78847200000001</v>
      </c>
      <c r="F10">
        <v>60.1956256</v>
      </c>
      <c r="G10">
        <v>62.306898699999998</v>
      </c>
      <c r="H10">
        <v>9.7845905800000008E-4</v>
      </c>
      <c r="I10">
        <v>1.9125676</v>
      </c>
      <c r="J10" s="1">
        <v>25.1931014</v>
      </c>
      <c r="K10">
        <v>75.013911500000006</v>
      </c>
      <c r="L10">
        <v>52813.572500000002</v>
      </c>
      <c r="M10">
        <v>87.5</v>
      </c>
      <c r="N10">
        <v>75</v>
      </c>
      <c r="O10">
        <v>49837.5</v>
      </c>
      <c r="P10">
        <v>50000</v>
      </c>
      <c r="Q10">
        <v>64.220444700000002</v>
      </c>
      <c r="R10">
        <v>52913.779600000002</v>
      </c>
      <c r="S10" s="3">
        <f t="shared" si="0"/>
        <v>71.20788422857143</v>
      </c>
      <c r="T10" s="3">
        <f t="shared" si="0"/>
        <v>1.3046120773333334E-3</v>
      </c>
    </row>
    <row r="11" spans="1:20" x14ac:dyDescent="0.3">
      <c r="A11">
        <v>8</v>
      </c>
      <c r="B11" t="s">
        <v>9</v>
      </c>
      <c r="D11">
        <v>2.6</v>
      </c>
      <c r="E11">
        <v>165.38823300000001</v>
      </c>
      <c r="F11">
        <v>60.251421800000003</v>
      </c>
      <c r="G11">
        <v>79.478295399999993</v>
      </c>
      <c r="H11">
        <v>1.28690036E-3</v>
      </c>
      <c r="I11">
        <v>2.4470955399999998</v>
      </c>
      <c r="J11" s="1">
        <v>8.0217045799999998</v>
      </c>
      <c r="K11">
        <v>75.013603099999997</v>
      </c>
      <c r="L11">
        <v>52813.038</v>
      </c>
      <c r="M11">
        <v>87.5</v>
      </c>
      <c r="N11">
        <v>75</v>
      </c>
      <c r="O11">
        <v>49837.5</v>
      </c>
      <c r="P11">
        <v>50000</v>
      </c>
      <c r="Q11">
        <v>81.926677900000001</v>
      </c>
      <c r="R11">
        <v>52896.073299999996</v>
      </c>
      <c r="S11" s="3">
        <f t="shared" si="0"/>
        <v>90.832337600000002</v>
      </c>
      <c r="T11" s="3">
        <f t="shared" si="0"/>
        <v>1.7158671466666667E-3</v>
      </c>
    </row>
    <row r="12" spans="1:20" x14ac:dyDescent="0.3">
      <c r="A12">
        <v>9</v>
      </c>
      <c r="B12" t="s">
        <v>9</v>
      </c>
      <c r="D12">
        <v>2.7</v>
      </c>
      <c r="E12">
        <v>166.11773600000001</v>
      </c>
      <c r="F12">
        <v>60.795275599999997</v>
      </c>
      <c r="G12">
        <v>87.500001100000006</v>
      </c>
      <c r="H12">
        <v>0.54611600900000001</v>
      </c>
      <c r="I12">
        <v>4.6440605599999998</v>
      </c>
      <c r="J12" s="1">
        <v>1.7004702499999999E-16</v>
      </c>
      <c r="K12">
        <v>74.468773900000002</v>
      </c>
      <c r="L12">
        <v>52810.841</v>
      </c>
      <c r="M12">
        <v>87.5</v>
      </c>
      <c r="N12">
        <v>75</v>
      </c>
      <c r="O12">
        <v>49837.5</v>
      </c>
      <c r="P12">
        <v>50000</v>
      </c>
      <c r="Q12">
        <v>92.690177599999998</v>
      </c>
      <c r="R12">
        <v>52885.309800000003</v>
      </c>
      <c r="S12" s="3">
        <f t="shared" si="0"/>
        <v>100.00000125714287</v>
      </c>
      <c r="T12" s="3">
        <f t="shared" si="0"/>
        <v>0.72815467866666661</v>
      </c>
    </row>
    <row r="13" spans="1:20" x14ac:dyDescent="0.3">
      <c r="A13">
        <v>10</v>
      </c>
      <c r="B13" t="s">
        <v>9</v>
      </c>
      <c r="D13">
        <v>2.8</v>
      </c>
      <c r="E13">
        <v>166.13213400000001</v>
      </c>
      <c r="F13">
        <v>61.422114000000001</v>
      </c>
      <c r="G13">
        <v>87.499991499999993</v>
      </c>
      <c r="H13">
        <v>3.2817377599999999</v>
      </c>
      <c r="I13">
        <v>5.7961051699999997</v>
      </c>
      <c r="J13" s="1">
        <v>1.0480209700000001E-17</v>
      </c>
      <c r="K13">
        <v>71.733152899999993</v>
      </c>
      <c r="L13">
        <v>52809.688999999998</v>
      </c>
      <c r="M13">
        <v>87.5</v>
      </c>
      <c r="N13">
        <v>75</v>
      </c>
      <c r="O13">
        <v>49837.5</v>
      </c>
      <c r="P13">
        <v>50000</v>
      </c>
      <c r="Q13">
        <v>96.5778344</v>
      </c>
      <c r="R13">
        <v>52881.422200000001</v>
      </c>
      <c r="S13" s="3">
        <f t="shared" si="0"/>
        <v>99.999990285714276</v>
      </c>
      <c r="T13" s="3">
        <f t="shared" si="0"/>
        <v>4.3756503466666663</v>
      </c>
    </row>
    <row r="14" spans="1:20" x14ac:dyDescent="0.3">
      <c r="A14">
        <v>11</v>
      </c>
      <c r="B14" t="s">
        <v>9</v>
      </c>
      <c r="D14">
        <v>2.9</v>
      </c>
      <c r="E14">
        <v>166.15311600000001</v>
      </c>
      <c r="F14">
        <v>62.7001001</v>
      </c>
      <c r="G14">
        <v>87.499986899999996</v>
      </c>
      <c r="H14">
        <v>7.2674578500000004</v>
      </c>
      <c r="I14">
        <v>6.8991371099999999</v>
      </c>
      <c r="J14" s="1">
        <v>4.6028726200000001E-18</v>
      </c>
      <c r="K14">
        <v>67.747432700000005</v>
      </c>
      <c r="L14">
        <v>52808.586000000003</v>
      </c>
      <c r="M14">
        <v>87.5</v>
      </c>
      <c r="N14">
        <v>75</v>
      </c>
      <c r="O14">
        <v>49837.5</v>
      </c>
      <c r="P14">
        <v>50000</v>
      </c>
      <c r="Q14">
        <v>101.66658200000001</v>
      </c>
      <c r="R14">
        <v>52876.333400000003</v>
      </c>
      <c r="S14" s="3">
        <f t="shared" si="0"/>
        <v>99.99998502857143</v>
      </c>
      <c r="T14" s="3">
        <f t="shared" si="0"/>
        <v>9.6899438000000018</v>
      </c>
    </row>
    <row r="15" spans="1:20" x14ac:dyDescent="0.3">
      <c r="A15">
        <v>12</v>
      </c>
      <c r="B15" t="s">
        <v>9</v>
      </c>
      <c r="D15">
        <v>3</v>
      </c>
      <c r="E15">
        <v>166.17608000000001</v>
      </c>
      <c r="F15">
        <v>65.663832600000006</v>
      </c>
      <c r="G15">
        <v>87.499953199999993</v>
      </c>
      <c r="H15">
        <v>11.629938599999999</v>
      </c>
      <c r="I15">
        <v>8.5633036800000006</v>
      </c>
      <c r="J15" s="1">
        <v>2.2267215899999999E-18</v>
      </c>
      <c r="K15">
        <v>63.384948299999998</v>
      </c>
      <c r="L15">
        <v>52806.921799999996</v>
      </c>
      <c r="M15">
        <v>87.5</v>
      </c>
      <c r="N15">
        <v>75</v>
      </c>
      <c r="O15">
        <v>49837.5</v>
      </c>
      <c r="P15">
        <v>50000</v>
      </c>
      <c r="Q15">
        <v>107.693195</v>
      </c>
      <c r="R15">
        <v>52870.306799999998</v>
      </c>
      <c r="S15" s="3">
        <f t="shared" si="0"/>
        <v>99.99994651428571</v>
      </c>
      <c r="T15" s="3">
        <f t="shared" si="0"/>
        <v>15.506584799999997</v>
      </c>
    </row>
    <row r="16" spans="1:20" x14ac:dyDescent="0.3">
      <c r="A16">
        <v>13</v>
      </c>
      <c r="B16" t="s">
        <v>9</v>
      </c>
      <c r="D16">
        <v>3.1</v>
      </c>
      <c r="E16">
        <v>166.199466</v>
      </c>
      <c r="F16">
        <v>72.2101124</v>
      </c>
      <c r="G16">
        <v>87.5</v>
      </c>
      <c r="H16">
        <v>16.073901899999999</v>
      </c>
      <c r="I16">
        <v>11.3977849</v>
      </c>
      <c r="J16" s="1">
        <v>1.1500209100000001E-18</v>
      </c>
      <c r="K16">
        <v>58.940988099999998</v>
      </c>
      <c r="L16">
        <v>52804.087299999999</v>
      </c>
      <c r="M16">
        <v>87.5</v>
      </c>
      <c r="N16">
        <v>75</v>
      </c>
      <c r="O16">
        <v>49837.5</v>
      </c>
      <c r="P16">
        <v>50000</v>
      </c>
      <c r="Q16">
        <v>114.971687</v>
      </c>
      <c r="R16">
        <v>52863.028299999998</v>
      </c>
      <c r="S16" s="3">
        <f t="shared" si="0"/>
        <v>100</v>
      </c>
      <c r="T16" s="3">
        <f t="shared" si="0"/>
        <v>21.431869199999998</v>
      </c>
    </row>
    <row r="17" spans="1:20" x14ac:dyDescent="0.3">
      <c r="A17">
        <v>14</v>
      </c>
      <c r="B17" t="s">
        <v>9</v>
      </c>
      <c r="D17">
        <v>3.2</v>
      </c>
      <c r="E17">
        <v>166.22277800000001</v>
      </c>
      <c r="F17">
        <v>84.4722388</v>
      </c>
      <c r="G17">
        <v>87.499982799999998</v>
      </c>
      <c r="H17">
        <v>20.506127299999999</v>
      </c>
      <c r="I17">
        <v>16.8795368</v>
      </c>
      <c r="J17" s="1">
        <v>6.1882816699999996E-19</v>
      </c>
      <c r="K17">
        <v>54.508761200000002</v>
      </c>
      <c r="L17">
        <v>52798.605600000003</v>
      </c>
      <c r="M17">
        <v>87.5</v>
      </c>
      <c r="N17">
        <v>75</v>
      </c>
      <c r="O17">
        <v>49837.5</v>
      </c>
      <c r="P17">
        <v>50000</v>
      </c>
      <c r="Q17">
        <v>124.88564700000001</v>
      </c>
      <c r="R17">
        <v>52853.114300000001</v>
      </c>
      <c r="S17" s="3">
        <f t="shared" si="0"/>
        <v>99.999980342857143</v>
      </c>
      <c r="T17" s="3">
        <f t="shared" si="0"/>
        <v>27.341503066666665</v>
      </c>
    </row>
    <row r="18" spans="1:20" x14ac:dyDescent="0.3">
      <c r="A18">
        <v>15</v>
      </c>
      <c r="B18" t="s">
        <v>9</v>
      </c>
      <c r="D18">
        <v>3.3</v>
      </c>
      <c r="E18">
        <v>166.24583799999999</v>
      </c>
      <c r="F18">
        <v>102.684568</v>
      </c>
      <c r="G18">
        <v>87.500000700000001</v>
      </c>
      <c r="H18">
        <v>24.896100400000002</v>
      </c>
      <c r="I18">
        <v>29.1241156</v>
      </c>
      <c r="J18" s="1">
        <v>3.4603714100000001E-19</v>
      </c>
      <c r="K18">
        <v>50.118788600000002</v>
      </c>
      <c r="L18">
        <v>52786.360999999997</v>
      </c>
      <c r="M18">
        <v>87.5</v>
      </c>
      <c r="N18">
        <v>75</v>
      </c>
      <c r="O18">
        <v>49837.5</v>
      </c>
      <c r="P18">
        <v>50000</v>
      </c>
      <c r="Q18">
        <v>141.520217</v>
      </c>
      <c r="R18">
        <v>52836.479800000001</v>
      </c>
      <c r="S18" s="3">
        <f t="shared" si="0"/>
        <v>100.0000008</v>
      </c>
      <c r="T18" s="3">
        <f t="shared" si="0"/>
        <v>33.194800533333336</v>
      </c>
    </row>
    <row r="19" spans="1:20" x14ac:dyDescent="0.3">
      <c r="A19">
        <v>16</v>
      </c>
      <c r="B19" t="s">
        <v>9</v>
      </c>
      <c r="D19">
        <v>3.4</v>
      </c>
      <c r="E19">
        <v>166.26869400000001</v>
      </c>
      <c r="F19">
        <v>125.435872</v>
      </c>
      <c r="G19">
        <v>87.499994900000004</v>
      </c>
      <c r="H19">
        <v>29.264239</v>
      </c>
      <c r="I19">
        <v>63.074768200000001</v>
      </c>
      <c r="J19" s="1">
        <v>2.44410037E-19</v>
      </c>
      <c r="K19">
        <v>45.750651699999999</v>
      </c>
      <c r="L19">
        <v>52752.410300000003</v>
      </c>
      <c r="M19">
        <v>87.5</v>
      </c>
      <c r="N19">
        <v>75</v>
      </c>
      <c r="O19">
        <v>49837.5</v>
      </c>
      <c r="P19">
        <v>50000</v>
      </c>
      <c r="Q19">
        <v>179.83900199999999</v>
      </c>
      <c r="R19">
        <v>52798.161</v>
      </c>
      <c r="S19" s="3">
        <f t="shared" si="0"/>
        <v>99.999994171428568</v>
      </c>
      <c r="T19" s="3">
        <f t="shared" si="0"/>
        <v>39.018985333333333</v>
      </c>
    </row>
    <row r="20" spans="1:20" x14ac:dyDescent="0.3">
      <c r="A20">
        <v>17</v>
      </c>
      <c r="B20" t="s">
        <v>9</v>
      </c>
      <c r="D20">
        <v>3.5</v>
      </c>
      <c r="E20">
        <v>166.29172600000001</v>
      </c>
      <c r="F20">
        <v>144.481505</v>
      </c>
      <c r="G20">
        <v>87.499988099999996</v>
      </c>
      <c r="H20">
        <v>33.707291499999997</v>
      </c>
      <c r="I20">
        <v>156.80322100000001</v>
      </c>
      <c r="J20" s="1">
        <v>1.7527910699999999E-19</v>
      </c>
      <c r="K20">
        <v>41.3075987</v>
      </c>
      <c r="L20">
        <v>52658.681900000003</v>
      </c>
      <c r="M20">
        <v>87.5</v>
      </c>
      <c r="N20">
        <v>75</v>
      </c>
      <c r="O20">
        <v>49837.5</v>
      </c>
      <c r="P20">
        <v>50000</v>
      </c>
      <c r="Q20">
        <v>278.01049999999998</v>
      </c>
      <c r="R20">
        <v>52699.989500000003</v>
      </c>
      <c r="S20" s="3">
        <f t="shared" si="0"/>
        <v>99.999986399999983</v>
      </c>
      <c r="T20" s="3">
        <f t="shared" si="0"/>
        <v>44.943055333333326</v>
      </c>
    </row>
    <row r="21" spans="1:20" x14ac:dyDescent="0.3">
      <c r="A21">
        <v>18</v>
      </c>
      <c r="B21" t="s">
        <v>9</v>
      </c>
      <c r="D21">
        <v>3.6</v>
      </c>
      <c r="E21">
        <v>166.314739</v>
      </c>
      <c r="F21">
        <v>153.214538</v>
      </c>
      <c r="G21">
        <v>87.500000099999994</v>
      </c>
      <c r="H21">
        <v>38.172563599999997</v>
      </c>
      <c r="I21">
        <v>309.48998799999998</v>
      </c>
      <c r="J21" s="1">
        <v>2.2076139599999999E-19</v>
      </c>
      <c r="K21">
        <v>36.842326300000003</v>
      </c>
      <c r="L21">
        <v>52505.9951</v>
      </c>
      <c r="M21">
        <v>87.5</v>
      </c>
      <c r="N21">
        <v>75</v>
      </c>
      <c r="O21">
        <v>49837.5</v>
      </c>
      <c r="P21">
        <v>50000</v>
      </c>
      <c r="Q21">
        <v>435.16255200000001</v>
      </c>
      <c r="R21">
        <v>52542.837399999997</v>
      </c>
      <c r="S21" s="3">
        <f t="shared" ref="S21:T46" si="1">100*G21/M21</f>
        <v>100.00000011428571</v>
      </c>
      <c r="T21" s="3">
        <f t="shared" si="1"/>
        <v>50.896751466666664</v>
      </c>
    </row>
    <row r="22" spans="1:20" x14ac:dyDescent="0.3">
      <c r="A22">
        <v>19</v>
      </c>
      <c r="B22" t="s">
        <v>9</v>
      </c>
      <c r="D22">
        <v>3.7</v>
      </c>
      <c r="E22">
        <v>166.337005</v>
      </c>
      <c r="F22">
        <v>156.95455000000001</v>
      </c>
      <c r="G22">
        <v>87.5</v>
      </c>
      <c r="H22">
        <v>42.485959399999999</v>
      </c>
      <c r="I22">
        <v>484.30504500000001</v>
      </c>
      <c r="J22" s="1">
        <v>5.7856397299999998E-20</v>
      </c>
      <c r="K22">
        <v>32.528930600000002</v>
      </c>
      <c r="L22">
        <v>52331.180099999998</v>
      </c>
      <c r="M22">
        <v>87.5</v>
      </c>
      <c r="N22">
        <v>75</v>
      </c>
      <c r="O22">
        <v>49837.5</v>
      </c>
      <c r="P22">
        <v>50000</v>
      </c>
      <c r="Q22">
        <v>614.29100400000004</v>
      </c>
      <c r="R22">
        <v>52363.709000000003</v>
      </c>
      <c r="S22" s="3">
        <f t="shared" si="1"/>
        <v>100</v>
      </c>
      <c r="T22" s="3">
        <f t="shared" si="1"/>
        <v>56.647945866666667</v>
      </c>
    </row>
    <row r="23" spans="1:20" x14ac:dyDescent="0.3">
      <c r="A23">
        <v>20</v>
      </c>
      <c r="B23" t="s">
        <v>9</v>
      </c>
      <c r="D23">
        <v>3.8</v>
      </c>
      <c r="E23">
        <v>166.35811799999999</v>
      </c>
      <c r="F23">
        <v>158.89375200000001</v>
      </c>
      <c r="G23">
        <v>87.5</v>
      </c>
      <c r="H23">
        <v>46.559119699999997</v>
      </c>
      <c r="I23">
        <v>666.70324600000004</v>
      </c>
      <c r="J23" s="1">
        <v>2.8431161600000001E-20</v>
      </c>
      <c r="K23">
        <v>28.455770300000001</v>
      </c>
      <c r="L23">
        <v>52148.781900000002</v>
      </c>
      <c r="M23">
        <v>87.5</v>
      </c>
      <c r="N23">
        <v>75</v>
      </c>
      <c r="O23">
        <v>49837.5</v>
      </c>
      <c r="P23">
        <v>50000</v>
      </c>
      <c r="Q23">
        <v>800.76236600000004</v>
      </c>
      <c r="R23">
        <v>52177.2376</v>
      </c>
      <c r="S23" s="3">
        <f t="shared" si="1"/>
        <v>100</v>
      </c>
      <c r="T23" s="3">
        <f t="shared" si="1"/>
        <v>62.078826266666653</v>
      </c>
    </row>
    <row r="24" spans="1:20" x14ac:dyDescent="0.3">
      <c r="A24">
        <v>21</v>
      </c>
      <c r="B24" t="s">
        <v>9</v>
      </c>
      <c r="D24">
        <v>3.9</v>
      </c>
      <c r="E24">
        <v>166.377835</v>
      </c>
      <c r="F24">
        <v>160.064131</v>
      </c>
      <c r="G24">
        <v>87.499998599999998</v>
      </c>
      <c r="H24">
        <v>50.345583599999998</v>
      </c>
      <c r="I24">
        <v>852.50737800000002</v>
      </c>
      <c r="J24" s="1">
        <v>4.16114873E-19</v>
      </c>
      <c r="K24">
        <v>24.669306599999999</v>
      </c>
      <c r="L24">
        <v>51962.977700000003</v>
      </c>
      <c r="M24">
        <v>87.5</v>
      </c>
      <c r="N24">
        <v>75</v>
      </c>
      <c r="O24">
        <v>49837.5</v>
      </c>
      <c r="P24">
        <v>50000</v>
      </c>
      <c r="Q24">
        <v>990.35296000000005</v>
      </c>
      <c r="R24">
        <v>51987.646999999997</v>
      </c>
      <c r="S24" s="3">
        <f t="shared" si="1"/>
        <v>99.999998399999996</v>
      </c>
      <c r="T24" s="3">
        <f t="shared" si="1"/>
        <v>67.127444800000006</v>
      </c>
    </row>
    <row r="25" spans="1:20" x14ac:dyDescent="0.3">
      <c r="A25">
        <v>22</v>
      </c>
      <c r="B25" t="s">
        <v>9</v>
      </c>
      <c r="D25">
        <v>4</v>
      </c>
      <c r="E25">
        <v>166.39599000000001</v>
      </c>
      <c r="F25">
        <v>160.847182</v>
      </c>
      <c r="G25">
        <v>87.499999500000001</v>
      </c>
      <c r="H25">
        <v>53.815686399999997</v>
      </c>
      <c r="I25">
        <v>1040.2494200000001</v>
      </c>
      <c r="J25" s="1">
        <v>1.0148387999999999E-20</v>
      </c>
      <c r="K25">
        <v>21.199203700000002</v>
      </c>
      <c r="L25">
        <v>51775.235699999997</v>
      </c>
      <c r="M25">
        <v>87.5</v>
      </c>
      <c r="N25">
        <v>75</v>
      </c>
      <c r="O25">
        <v>49837.5</v>
      </c>
      <c r="P25">
        <v>50000</v>
      </c>
      <c r="Q25">
        <v>1181.56511</v>
      </c>
      <c r="R25">
        <v>51796.4349</v>
      </c>
      <c r="S25" s="3">
        <f t="shared" si="1"/>
        <v>99.999999428571428</v>
      </c>
      <c r="T25" s="3">
        <f t="shared" si="1"/>
        <v>71.754248533333325</v>
      </c>
    </row>
    <row r="26" spans="1:20" x14ac:dyDescent="0.3">
      <c r="A26">
        <v>23</v>
      </c>
      <c r="B26" t="s">
        <v>9</v>
      </c>
      <c r="D26">
        <v>4.0999999999999996</v>
      </c>
      <c r="E26">
        <v>166.412474</v>
      </c>
      <c r="F26">
        <v>161.410359</v>
      </c>
      <c r="G26">
        <v>87.499999799999998</v>
      </c>
      <c r="H26">
        <v>56.951635400000001</v>
      </c>
      <c r="I26">
        <v>1229.3013599999999</v>
      </c>
      <c r="J26" s="1">
        <v>3.9852788600000002E-19</v>
      </c>
      <c r="K26">
        <v>18.0632546</v>
      </c>
      <c r="L26">
        <v>51586.183700000001</v>
      </c>
      <c r="M26">
        <v>87.5</v>
      </c>
      <c r="N26">
        <v>75</v>
      </c>
      <c r="O26">
        <v>49837.5</v>
      </c>
      <c r="P26">
        <v>50000</v>
      </c>
      <c r="Q26">
        <v>1373.7529999999999</v>
      </c>
      <c r="R26">
        <v>51604.247000000003</v>
      </c>
      <c r="S26" s="3">
        <f t="shared" si="1"/>
        <v>99.999999771428577</v>
      </c>
      <c r="T26" s="3">
        <f t="shared" si="1"/>
        <v>75.935513866666668</v>
      </c>
    </row>
    <row r="27" spans="1:20" x14ac:dyDescent="0.3">
      <c r="A27">
        <v>24</v>
      </c>
      <c r="B27" t="s">
        <v>9</v>
      </c>
      <c r="D27">
        <v>4.2</v>
      </c>
      <c r="E27">
        <v>166.427234</v>
      </c>
      <c r="F27">
        <v>161.83736999999999</v>
      </c>
      <c r="G27">
        <v>87.499999900000006</v>
      </c>
      <c r="H27">
        <v>59.746821300000001</v>
      </c>
      <c r="I27">
        <v>1419.34743</v>
      </c>
      <c r="J27" s="1">
        <v>3.7432954600000002E-21</v>
      </c>
      <c r="K27">
        <v>15.268068700000001</v>
      </c>
      <c r="L27">
        <v>51396.137699999999</v>
      </c>
      <c r="M27">
        <v>87.5</v>
      </c>
      <c r="N27">
        <v>75</v>
      </c>
      <c r="O27">
        <v>49837.5</v>
      </c>
      <c r="P27">
        <v>50000</v>
      </c>
      <c r="Q27">
        <v>1566.5942500000001</v>
      </c>
      <c r="R27">
        <v>51411.4058</v>
      </c>
      <c r="S27" s="3">
        <f t="shared" si="1"/>
        <v>99.999999885714288</v>
      </c>
      <c r="T27" s="3">
        <f t="shared" si="1"/>
        <v>79.662428399999996</v>
      </c>
    </row>
    <row r="28" spans="1:20" x14ac:dyDescent="0.3">
      <c r="A28">
        <v>25</v>
      </c>
      <c r="B28" t="s">
        <v>9</v>
      </c>
      <c r="D28">
        <v>4.3</v>
      </c>
      <c r="E28">
        <v>166.44027399999999</v>
      </c>
      <c r="F28">
        <v>162.17426900000001</v>
      </c>
      <c r="G28">
        <v>87.499999900000006</v>
      </c>
      <c r="H28">
        <v>62.205210700000002</v>
      </c>
      <c r="I28">
        <v>1610.20408</v>
      </c>
      <c r="J28" s="1">
        <v>1.5422267899999999E-21</v>
      </c>
      <c r="K28">
        <v>12.809679300000001</v>
      </c>
      <c r="L28">
        <v>51205.281000000003</v>
      </c>
      <c r="M28">
        <v>87.5</v>
      </c>
      <c r="N28">
        <v>75</v>
      </c>
      <c r="O28">
        <v>49837.5</v>
      </c>
      <c r="P28">
        <v>50000</v>
      </c>
      <c r="Q28">
        <v>1759.9092900000001</v>
      </c>
      <c r="R28">
        <v>51218.090700000001</v>
      </c>
      <c r="S28" s="3">
        <f t="shared" si="1"/>
        <v>99.999999885714288</v>
      </c>
      <c r="T28" s="3">
        <f t="shared" si="1"/>
        <v>82.940280933333327</v>
      </c>
    </row>
    <row r="29" spans="1:20" x14ac:dyDescent="0.3">
      <c r="A29">
        <v>26</v>
      </c>
      <c r="B29" t="s">
        <v>9</v>
      </c>
      <c r="D29">
        <v>4.4000000000000004</v>
      </c>
      <c r="E29">
        <v>166.45164700000001</v>
      </c>
      <c r="F29">
        <v>162.44829799999999</v>
      </c>
      <c r="G29">
        <v>87.5</v>
      </c>
      <c r="H29">
        <v>64.340131999999997</v>
      </c>
      <c r="I29">
        <v>1801.7485099999999</v>
      </c>
      <c r="J29" s="1">
        <v>1.9640501500000001E-21</v>
      </c>
      <c r="K29">
        <v>10.674758000000001</v>
      </c>
      <c r="L29">
        <v>51013.736599999997</v>
      </c>
      <c r="M29">
        <v>87.5</v>
      </c>
      <c r="N29">
        <v>75</v>
      </c>
      <c r="O29">
        <v>49837.5</v>
      </c>
      <c r="P29">
        <v>50000</v>
      </c>
      <c r="Q29">
        <v>1953.5886399999999</v>
      </c>
      <c r="R29">
        <v>51024.411399999997</v>
      </c>
      <c r="S29" s="3">
        <f t="shared" si="1"/>
        <v>100</v>
      </c>
      <c r="T29" s="3">
        <f t="shared" si="1"/>
        <v>85.786842666666658</v>
      </c>
    </row>
    <row r="30" spans="1:20" x14ac:dyDescent="0.3">
      <c r="A30">
        <v>27</v>
      </c>
      <c r="B30" t="s">
        <v>9</v>
      </c>
      <c r="D30">
        <v>4.5</v>
      </c>
      <c r="E30">
        <v>166.46145000000001</v>
      </c>
      <c r="F30">
        <v>162.676523</v>
      </c>
      <c r="G30">
        <v>87.5</v>
      </c>
      <c r="H30">
        <v>66.172427400000004</v>
      </c>
      <c r="I30">
        <v>1993.8876700000001</v>
      </c>
      <c r="J30" s="1">
        <v>2.5480517600000001E-20</v>
      </c>
      <c r="K30">
        <v>8.8424625999999993</v>
      </c>
      <c r="L30">
        <v>50821.597399999999</v>
      </c>
      <c r="M30">
        <v>87.5</v>
      </c>
      <c r="N30">
        <v>75</v>
      </c>
      <c r="O30">
        <v>49837.5</v>
      </c>
      <c r="P30">
        <v>50000</v>
      </c>
      <c r="Q30">
        <v>2147.5600899999999</v>
      </c>
      <c r="R30">
        <v>50830.439899999998</v>
      </c>
      <c r="S30" s="3">
        <f t="shared" si="1"/>
        <v>100</v>
      </c>
      <c r="T30" s="3">
        <f t="shared" si="1"/>
        <v>88.22990320000001</v>
      </c>
    </row>
    <row r="31" spans="1:20" x14ac:dyDescent="0.3">
      <c r="A31">
        <v>28</v>
      </c>
      <c r="B31" t="s">
        <v>9</v>
      </c>
      <c r="D31">
        <v>4.5999999999999996</v>
      </c>
      <c r="E31">
        <v>166.469809</v>
      </c>
      <c r="F31">
        <v>162.87014600000001</v>
      </c>
      <c r="G31">
        <v>87.5</v>
      </c>
      <c r="H31">
        <v>67.728235400000003</v>
      </c>
      <c r="I31">
        <v>2186.5443500000001</v>
      </c>
      <c r="J31" s="1">
        <v>1.28116381E-21</v>
      </c>
      <c r="K31">
        <v>7.2866546100000003</v>
      </c>
      <c r="L31">
        <v>50628.940799999997</v>
      </c>
      <c r="M31">
        <v>87.5</v>
      </c>
      <c r="N31">
        <v>75</v>
      </c>
      <c r="O31">
        <v>49837.5</v>
      </c>
      <c r="P31">
        <v>50000</v>
      </c>
      <c r="Q31">
        <v>2341.77259</v>
      </c>
      <c r="R31">
        <v>50636.227400000003</v>
      </c>
      <c r="S31" s="3">
        <f t="shared" si="1"/>
        <v>100</v>
      </c>
      <c r="T31" s="3">
        <f t="shared" si="1"/>
        <v>90.304313866666675</v>
      </c>
    </row>
    <row r="32" spans="1:20" x14ac:dyDescent="0.3">
      <c r="A32">
        <v>29</v>
      </c>
      <c r="B32" t="s">
        <v>9</v>
      </c>
      <c r="D32">
        <v>4.7</v>
      </c>
      <c r="E32">
        <v>166.476868</v>
      </c>
      <c r="F32">
        <v>163.036824</v>
      </c>
      <c r="G32">
        <v>87.5</v>
      </c>
      <c r="H32">
        <v>69.036730599999999</v>
      </c>
      <c r="I32">
        <v>2379.6511099999998</v>
      </c>
      <c r="J32" s="1">
        <v>1.25613492E-20</v>
      </c>
      <c r="K32">
        <v>5.9781593600000003</v>
      </c>
      <c r="L32">
        <v>50435.834000000003</v>
      </c>
      <c r="M32">
        <v>87.5</v>
      </c>
      <c r="N32">
        <v>75</v>
      </c>
      <c r="O32">
        <v>49837.5</v>
      </c>
      <c r="P32">
        <v>50000</v>
      </c>
      <c r="Q32">
        <v>2536.1878400000001</v>
      </c>
      <c r="R32">
        <v>50441.8122</v>
      </c>
      <c r="S32" s="3">
        <f t="shared" si="1"/>
        <v>100</v>
      </c>
      <c r="T32" s="3">
        <f t="shared" si="1"/>
        <v>92.048974133333331</v>
      </c>
    </row>
    <row r="33" spans="1:20" x14ac:dyDescent="0.3">
      <c r="A33">
        <v>30</v>
      </c>
      <c r="B33" t="s">
        <v>9</v>
      </c>
      <c r="D33">
        <v>4.8</v>
      </c>
      <c r="E33">
        <v>166.48277899999999</v>
      </c>
      <c r="F33">
        <v>163.181984</v>
      </c>
      <c r="G33">
        <v>87.5</v>
      </c>
      <c r="H33">
        <v>70.128092899999999</v>
      </c>
      <c r="I33">
        <v>2573.1476499999999</v>
      </c>
      <c r="J33" s="1">
        <v>4.0120400600000001E-22</v>
      </c>
      <c r="K33">
        <v>4.8867971199999998</v>
      </c>
      <c r="L33">
        <v>50242.337500000001</v>
      </c>
      <c r="M33">
        <v>87.5</v>
      </c>
      <c r="N33">
        <v>75</v>
      </c>
      <c r="O33">
        <v>49837.5</v>
      </c>
      <c r="P33">
        <v>50000</v>
      </c>
      <c r="Q33">
        <v>2730.77574</v>
      </c>
      <c r="R33">
        <v>50247.224300000002</v>
      </c>
      <c r="S33" s="3">
        <f t="shared" si="1"/>
        <v>100</v>
      </c>
      <c r="T33" s="3">
        <f t="shared" si="1"/>
        <v>93.504123866666674</v>
      </c>
    </row>
    <row r="34" spans="1:20" x14ac:dyDescent="0.3">
      <c r="A34">
        <v>31</v>
      </c>
      <c r="B34" t="s">
        <v>9</v>
      </c>
      <c r="D34">
        <v>4.9000000000000004</v>
      </c>
      <c r="E34">
        <v>166.487695</v>
      </c>
      <c r="F34">
        <v>163.309595</v>
      </c>
      <c r="G34">
        <v>87.5</v>
      </c>
      <c r="H34">
        <v>71.0318769</v>
      </c>
      <c r="I34">
        <v>2766.9799600000001</v>
      </c>
      <c r="J34" s="1">
        <v>6.25605522E-21</v>
      </c>
      <c r="K34">
        <v>3.9830130800000001</v>
      </c>
      <c r="L34">
        <v>50048.505100000002</v>
      </c>
      <c r="M34">
        <v>87.5</v>
      </c>
      <c r="N34">
        <v>75</v>
      </c>
      <c r="O34">
        <v>49837.5</v>
      </c>
      <c r="P34">
        <v>50000</v>
      </c>
      <c r="Q34">
        <v>2925.5118400000001</v>
      </c>
      <c r="R34">
        <v>50052.4882</v>
      </c>
      <c r="S34" s="3">
        <f t="shared" si="1"/>
        <v>100</v>
      </c>
      <c r="T34" s="3">
        <f t="shared" si="1"/>
        <v>94.709169199999991</v>
      </c>
    </row>
    <row r="35" spans="1:20" x14ac:dyDescent="0.3">
      <c r="A35">
        <v>32</v>
      </c>
      <c r="B35" t="s">
        <v>9</v>
      </c>
      <c r="D35">
        <v>5</v>
      </c>
      <c r="E35">
        <v>166.49175700000001</v>
      </c>
      <c r="F35">
        <v>163.42265</v>
      </c>
      <c r="G35">
        <v>87.5</v>
      </c>
      <c r="H35">
        <v>71.775842999999995</v>
      </c>
      <c r="I35">
        <v>2961.0999400000001</v>
      </c>
      <c r="J35" s="1">
        <v>6.2360274699999999E-27</v>
      </c>
      <c r="K35">
        <v>3.23904696</v>
      </c>
      <c r="L35">
        <v>49854.385199999997</v>
      </c>
      <c r="M35">
        <v>87.5</v>
      </c>
      <c r="N35">
        <v>75</v>
      </c>
      <c r="O35">
        <v>49837.5</v>
      </c>
      <c r="P35">
        <v>50000</v>
      </c>
      <c r="Q35">
        <v>3120.3757799999998</v>
      </c>
      <c r="R35">
        <v>49857.624199999998</v>
      </c>
      <c r="S35" s="3">
        <f t="shared" si="1"/>
        <v>100</v>
      </c>
      <c r="T35" s="3">
        <f t="shared" si="1"/>
        <v>95.701123999999993</v>
      </c>
    </row>
    <row r="36" spans="1:20" x14ac:dyDescent="0.3">
      <c r="A36">
        <v>33</v>
      </c>
      <c r="B36" t="s">
        <v>9</v>
      </c>
      <c r="D36">
        <v>5.0999999999999996</v>
      </c>
      <c r="E36">
        <v>166.49509699999999</v>
      </c>
      <c r="F36">
        <v>163.523459</v>
      </c>
      <c r="G36">
        <v>87.5</v>
      </c>
      <c r="H36">
        <v>72.385228699999999</v>
      </c>
      <c r="I36">
        <v>3155.4651699999999</v>
      </c>
      <c r="J36" s="1">
        <v>9.4069947800000006E-24</v>
      </c>
      <c r="K36">
        <v>2.6296613400000002</v>
      </c>
      <c r="L36">
        <v>49660.019899999999</v>
      </c>
      <c r="M36">
        <v>87.5</v>
      </c>
      <c r="N36">
        <v>75</v>
      </c>
      <c r="O36">
        <v>49837.5</v>
      </c>
      <c r="P36">
        <v>50000</v>
      </c>
      <c r="Q36">
        <v>3315.3503999999998</v>
      </c>
      <c r="R36">
        <v>49662.649599999997</v>
      </c>
      <c r="S36" s="3">
        <f t="shared" si="1"/>
        <v>100</v>
      </c>
      <c r="T36" s="3">
        <f t="shared" si="1"/>
        <v>96.513638266666661</v>
      </c>
    </row>
    <row r="37" spans="1:20" x14ac:dyDescent="0.3">
      <c r="A37">
        <v>34</v>
      </c>
      <c r="B37" t="s">
        <v>9</v>
      </c>
      <c r="D37">
        <v>5.2</v>
      </c>
      <c r="E37">
        <v>166.49783400000001</v>
      </c>
      <c r="F37">
        <v>163.61384799999999</v>
      </c>
      <c r="G37">
        <v>87.5</v>
      </c>
      <c r="H37">
        <v>72.882389599999996</v>
      </c>
      <c r="I37">
        <v>3350.0387000000001</v>
      </c>
      <c r="J37" s="1">
        <v>9.3760308299999994E-24</v>
      </c>
      <c r="K37">
        <v>2.1325003800000002</v>
      </c>
      <c r="L37">
        <v>49465.446400000001</v>
      </c>
      <c r="M37">
        <v>87.5</v>
      </c>
      <c r="N37">
        <v>75</v>
      </c>
      <c r="O37">
        <v>49837.5</v>
      </c>
      <c r="P37">
        <v>50000</v>
      </c>
      <c r="Q37">
        <v>3510.4210899999998</v>
      </c>
      <c r="R37">
        <v>49467.5789</v>
      </c>
      <c r="S37" s="3">
        <f t="shared" si="1"/>
        <v>100</v>
      </c>
      <c r="T37" s="3">
        <f t="shared" si="1"/>
        <v>97.176519466666662</v>
      </c>
    </row>
    <row r="38" spans="1:20" x14ac:dyDescent="0.3">
      <c r="A38">
        <v>35</v>
      </c>
      <c r="B38" t="s">
        <v>9</v>
      </c>
      <c r="D38">
        <v>5.3</v>
      </c>
      <c r="E38">
        <v>166.500067</v>
      </c>
      <c r="F38">
        <v>163.69529</v>
      </c>
      <c r="G38">
        <v>87.5</v>
      </c>
      <c r="H38">
        <v>73.286721200000002</v>
      </c>
      <c r="I38">
        <v>3544.7886600000002</v>
      </c>
      <c r="J38" s="1">
        <v>1.5035486699999999E-21</v>
      </c>
      <c r="K38">
        <v>1.72816876</v>
      </c>
      <c r="L38">
        <v>49270.696499999998</v>
      </c>
      <c r="M38">
        <v>87.5</v>
      </c>
      <c r="N38">
        <v>75</v>
      </c>
      <c r="O38">
        <v>49837.5</v>
      </c>
      <c r="P38">
        <v>50000</v>
      </c>
      <c r="Q38">
        <v>3705.5753800000002</v>
      </c>
      <c r="R38">
        <v>49272.424599999998</v>
      </c>
      <c r="S38" s="3">
        <f t="shared" si="1"/>
        <v>100</v>
      </c>
      <c r="T38" s="3">
        <f t="shared" si="1"/>
        <v>97.71562826666667</v>
      </c>
    </row>
    <row r="39" spans="1:20" x14ac:dyDescent="0.3">
      <c r="A39">
        <v>36</v>
      </c>
      <c r="B39" t="s">
        <v>9</v>
      </c>
      <c r="D39">
        <v>5.4</v>
      </c>
      <c r="E39">
        <v>166.50188700000001</v>
      </c>
      <c r="F39">
        <v>163.76898800000001</v>
      </c>
      <c r="G39">
        <v>87.5</v>
      </c>
      <c r="H39">
        <v>73.614770899999996</v>
      </c>
      <c r="I39">
        <v>3739.6878299999998</v>
      </c>
      <c r="J39" s="1">
        <v>1.49674734E-21</v>
      </c>
      <c r="K39">
        <v>1.4001190800000001</v>
      </c>
      <c r="L39">
        <v>49075.797299999998</v>
      </c>
      <c r="M39">
        <v>87.5</v>
      </c>
      <c r="N39">
        <v>75</v>
      </c>
      <c r="O39">
        <v>49837.5</v>
      </c>
      <c r="P39">
        <v>50000</v>
      </c>
      <c r="Q39">
        <v>3900.8026</v>
      </c>
      <c r="R39">
        <v>49077.197399999997</v>
      </c>
      <c r="S39" s="3">
        <f t="shared" si="1"/>
        <v>100</v>
      </c>
      <c r="T39" s="3">
        <f t="shared" si="1"/>
        <v>98.153027866666662</v>
      </c>
    </row>
    <row r="40" spans="1:20" x14ac:dyDescent="0.3">
      <c r="A40">
        <v>37</v>
      </c>
      <c r="B40" t="s">
        <v>9</v>
      </c>
      <c r="D40">
        <v>5.5</v>
      </c>
      <c r="E40">
        <v>166.503366</v>
      </c>
      <c r="F40">
        <v>163.83593999999999</v>
      </c>
      <c r="G40">
        <v>87.5</v>
      </c>
      <c r="H40">
        <v>73.880467199999998</v>
      </c>
      <c r="I40">
        <v>3934.7131300000001</v>
      </c>
      <c r="J40" s="1">
        <v>1.49164134E-24</v>
      </c>
      <c r="K40">
        <v>1.13442277</v>
      </c>
      <c r="L40">
        <v>48880.771999999997</v>
      </c>
      <c r="M40">
        <v>87.5</v>
      </c>
      <c r="N40">
        <v>75</v>
      </c>
      <c r="O40">
        <v>49837.5</v>
      </c>
      <c r="P40">
        <v>50000</v>
      </c>
      <c r="Q40">
        <v>4096.0935900000004</v>
      </c>
      <c r="R40">
        <v>48881.9064</v>
      </c>
      <c r="S40" s="3">
        <f t="shared" si="1"/>
        <v>100</v>
      </c>
      <c r="T40" s="3">
        <f t="shared" si="1"/>
        <v>98.507289600000007</v>
      </c>
    </row>
    <row r="41" spans="1:20" x14ac:dyDescent="0.3">
      <c r="A41">
        <v>38</v>
      </c>
      <c r="B41" t="s">
        <v>9</v>
      </c>
      <c r="D41">
        <v>5.6</v>
      </c>
      <c r="E41">
        <v>166.50456800000001</v>
      </c>
      <c r="F41">
        <v>163.89698300000001</v>
      </c>
      <c r="G41">
        <v>87.5</v>
      </c>
      <c r="H41">
        <v>74.095408199999994</v>
      </c>
      <c r="I41">
        <v>4129.84512</v>
      </c>
      <c r="J41" s="1">
        <v>7.4728330299999999E-22</v>
      </c>
      <c r="K41">
        <v>0.91948183999999999</v>
      </c>
      <c r="L41">
        <v>48685.64</v>
      </c>
      <c r="M41">
        <v>87.5</v>
      </c>
      <c r="N41">
        <v>75</v>
      </c>
      <c r="O41">
        <v>49837.5</v>
      </c>
      <c r="P41">
        <v>50000</v>
      </c>
      <c r="Q41">
        <v>4291.4405299999999</v>
      </c>
      <c r="R41">
        <v>48686.559500000003</v>
      </c>
      <c r="S41" s="3">
        <f t="shared" si="1"/>
        <v>100</v>
      </c>
      <c r="T41" s="3">
        <f t="shared" si="1"/>
        <v>98.793877599999988</v>
      </c>
    </row>
    <row r="42" spans="1:20" x14ac:dyDescent="0.3">
      <c r="A42">
        <v>39</v>
      </c>
      <c r="B42" t="s">
        <v>9</v>
      </c>
      <c r="D42">
        <v>5.7</v>
      </c>
      <c r="E42">
        <v>166.50554299999999</v>
      </c>
      <c r="F42">
        <v>163.95282399999999</v>
      </c>
      <c r="G42">
        <v>87.5</v>
      </c>
      <c r="H42">
        <v>74.269167800000005</v>
      </c>
      <c r="I42">
        <v>4325.0675000000001</v>
      </c>
      <c r="J42" s="1">
        <v>4.84741299E-23</v>
      </c>
      <c r="K42">
        <v>0.74572224399999998</v>
      </c>
      <c r="L42">
        <v>48490.417600000001</v>
      </c>
      <c r="M42">
        <v>87.5</v>
      </c>
      <c r="N42">
        <v>75</v>
      </c>
      <c r="O42">
        <v>49837.5</v>
      </c>
      <c r="P42">
        <v>50000</v>
      </c>
      <c r="Q42">
        <v>4486.8366699999997</v>
      </c>
      <c r="R42">
        <v>48491.1633</v>
      </c>
      <c r="S42" s="3">
        <f t="shared" si="1"/>
        <v>100</v>
      </c>
      <c r="T42" s="3">
        <f t="shared" si="1"/>
        <v>99.025557066666678</v>
      </c>
    </row>
    <row r="43" spans="1:20" x14ac:dyDescent="0.3">
      <c r="A43">
        <v>40</v>
      </c>
      <c r="B43" t="s">
        <v>9</v>
      </c>
      <c r="D43">
        <v>5.8</v>
      </c>
      <c r="E43">
        <v>166.50633400000001</v>
      </c>
      <c r="F43">
        <v>164.00406599999999</v>
      </c>
      <c r="G43">
        <v>87.5</v>
      </c>
      <c r="H43">
        <v>74.409595100000004</v>
      </c>
      <c r="I43">
        <v>4520.3666400000002</v>
      </c>
      <c r="J43" s="1">
        <v>1.8492470700000001E-23</v>
      </c>
      <c r="K43">
        <v>0.60529487599999998</v>
      </c>
      <c r="L43">
        <v>48295.118499999997</v>
      </c>
      <c r="M43">
        <v>87.5</v>
      </c>
      <c r="N43">
        <v>75</v>
      </c>
      <c r="O43">
        <v>49837.5</v>
      </c>
      <c r="P43">
        <v>50000</v>
      </c>
      <c r="Q43">
        <v>4682.2762400000001</v>
      </c>
      <c r="R43">
        <v>48295.7238</v>
      </c>
      <c r="S43" s="3">
        <f t="shared" si="1"/>
        <v>100</v>
      </c>
      <c r="T43" s="3">
        <f t="shared" si="1"/>
        <v>99.212793466666668</v>
      </c>
    </row>
    <row r="44" spans="1:20" x14ac:dyDescent="0.3">
      <c r="A44">
        <v>41</v>
      </c>
      <c r="B44" t="s">
        <v>9</v>
      </c>
      <c r="D44">
        <v>5.9</v>
      </c>
      <c r="E44">
        <v>166.50697500000001</v>
      </c>
      <c r="F44">
        <v>164.05122600000001</v>
      </c>
      <c r="G44">
        <v>87.5</v>
      </c>
      <c r="H44">
        <v>74.523090400000001</v>
      </c>
      <c r="I44">
        <v>4715.7311799999998</v>
      </c>
      <c r="J44" s="1">
        <v>4.0765859899999998E-22</v>
      </c>
      <c r="K44">
        <v>0.49179957699999999</v>
      </c>
      <c r="L44">
        <v>48099.753900000003</v>
      </c>
      <c r="M44">
        <v>87.5</v>
      </c>
      <c r="N44">
        <v>75</v>
      </c>
      <c r="O44">
        <v>49837.5</v>
      </c>
      <c r="P44">
        <v>50000</v>
      </c>
      <c r="Q44">
        <v>4877.7542700000004</v>
      </c>
      <c r="R44">
        <v>48100.245699999999</v>
      </c>
      <c r="S44" s="3">
        <f t="shared" si="1"/>
        <v>100</v>
      </c>
      <c r="T44" s="3">
        <f t="shared" si="1"/>
        <v>99.364120533333335</v>
      </c>
    </row>
    <row r="45" spans="1:20" x14ac:dyDescent="0.3">
      <c r="A45">
        <v>42</v>
      </c>
      <c r="B45" t="s">
        <v>9</v>
      </c>
      <c r="D45">
        <v>6</v>
      </c>
      <c r="E45">
        <v>166.507496</v>
      </c>
      <c r="F45">
        <v>164.09474800000001</v>
      </c>
      <c r="G45">
        <v>87.5</v>
      </c>
      <c r="H45">
        <v>74.614850399999995</v>
      </c>
      <c r="I45">
        <v>4911.15164</v>
      </c>
      <c r="J45" s="1">
        <v>1.1860103399999999E-22</v>
      </c>
      <c r="K45">
        <v>0.400039588</v>
      </c>
      <c r="L45">
        <v>47904.333500000001</v>
      </c>
      <c r="M45">
        <v>87.5</v>
      </c>
      <c r="N45">
        <v>75</v>
      </c>
      <c r="O45">
        <v>49837.5</v>
      </c>
      <c r="P45">
        <v>50000</v>
      </c>
      <c r="Q45">
        <v>5073.26649</v>
      </c>
      <c r="R45">
        <v>47904.733500000002</v>
      </c>
      <c r="S45" s="3">
        <f t="shared" si="1"/>
        <v>100</v>
      </c>
      <c r="T45" s="3">
        <f t="shared" si="1"/>
        <v>99.486467199999993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9CCCB-C6EB-46F3-9D90-E7E783F5CE56}">
  <dimension ref="A3:T45"/>
  <sheetViews>
    <sheetView workbookViewId="0">
      <selection activeCell="G13" sqref="G13"/>
    </sheetView>
  </sheetViews>
  <sheetFormatPr defaultRowHeight="14.4" x14ac:dyDescent="0.3"/>
  <cols>
    <col min="1" max="1" width="9.6640625" bestFit="1" customWidth="1"/>
    <col min="2" max="2" width="6.44140625" bestFit="1" customWidth="1"/>
    <col min="3" max="3" width="11.33203125" bestFit="1" customWidth="1"/>
    <col min="4" max="12" width="11" bestFit="1" customWidth="1"/>
    <col min="13" max="13" width="11.33203125" customWidth="1"/>
    <col min="14" max="15" width="11" bestFit="1" customWidth="1"/>
    <col min="19" max="19" width="12" bestFit="1" customWidth="1"/>
  </cols>
  <sheetData>
    <row r="3" spans="1:20" ht="100.8" x14ac:dyDescent="0.3">
      <c r="A3" t="s">
        <v>0</v>
      </c>
      <c r="B3" t="s">
        <v>1</v>
      </c>
      <c r="C3" t="s">
        <v>2</v>
      </c>
      <c r="D3" s="2" t="s">
        <v>3</v>
      </c>
      <c r="E3" s="2" t="s">
        <v>4</v>
      </c>
      <c r="F3" s="2" t="s">
        <v>5</v>
      </c>
      <c r="G3" s="2" t="s">
        <v>10</v>
      </c>
      <c r="H3" s="2" t="s">
        <v>11</v>
      </c>
      <c r="I3" s="2" t="s">
        <v>15</v>
      </c>
      <c r="J3" s="2" t="s">
        <v>12</v>
      </c>
      <c r="K3" s="2" t="s">
        <v>13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6</v>
      </c>
      <c r="Q3" s="2" t="s">
        <v>7</v>
      </c>
      <c r="R3" s="2" t="s">
        <v>8</v>
      </c>
      <c r="S3" s="2" t="s">
        <v>14</v>
      </c>
      <c r="T3" s="2" t="s">
        <v>20</v>
      </c>
    </row>
    <row r="4" spans="1:20" x14ac:dyDescent="0.3">
      <c r="A4">
        <v>1</v>
      </c>
      <c r="B4" t="s">
        <v>62</v>
      </c>
      <c r="D4">
        <v>0.5</v>
      </c>
      <c r="E4">
        <v>136.872499</v>
      </c>
      <c r="F4">
        <v>19.619669200000001</v>
      </c>
      <c r="G4" s="1">
        <v>1.3223452200000001</v>
      </c>
      <c r="H4" s="1">
        <v>6.6094121900000002E-37</v>
      </c>
      <c r="I4" s="1">
        <v>6.9915734599999999E-37</v>
      </c>
      <c r="J4">
        <v>175.73077499999999</v>
      </c>
      <c r="K4">
        <v>1600.71317</v>
      </c>
      <c r="L4">
        <v>52761.577499999999</v>
      </c>
      <c r="M4">
        <v>87.5</v>
      </c>
      <c r="N4">
        <v>150</v>
      </c>
      <c r="O4">
        <v>49762.5</v>
      </c>
      <c r="P4">
        <v>50000</v>
      </c>
      <c r="Q4">
        <v>1.3223452200000001</v>
      </c>
      <c r="R4">
        <v>54538.021399999998</v>
      </c>
      <c r="S4" s="3">
        <f>100*G4/M4</f>
        <v>1.51125168</v>
      </c>
      <c r="T4" s="3">
        <f>100*H4/N4</f>
        <v>4.4062747933333335E-37</v>
      </c>
    </row>
    <row r="5" spans="1:20" x14ac:dyDescent="0.3">
      <c r="A5">
        <v>2</v>
      </c>
      <c r="B5" t="s">
        <v>62</v>
      </c>
      <c r="D5">
        <v>2</v>
      </c>
      <c r="E5">
        <v>155.47288800000001</v>
      </c>
      <c r="F5">
        <v>-136.72382899999999</v>
      </c>
      <c r="G5">
        <v>0.23240346000000001</v>
      </c>
      <c r="H5" s="1">
        <v>0.149881915</v>
      </c>
      <c r="I5">
        <v>0.244549142</v>
      </c>
      <c r="J5" s="1">
        <v>95.118240900000004</v>
      </c>
      <c r="K5">
        <v>298.53465599999998</v>
      </c>
      <c r="L5">
        <v>52827.55</v>
      </c>
      <c r="M5">
        <v>87.5</v>
      </c>
      <c r="N5">
        <v>150</v>
      </c>
      <c r="O5">
        <v>49762.5</v>
      </c>
      <c r="P5">
        <v>50000</v>
      </c>
      <c r="Q5">
        <v>0.62683451700000004</v>
      </c>
      <c r="R5">
        <v>53221.202899999997</v>
      </c>
      <c r="S5" s="3">
        <f t="shared" ref="S5:T20" si="0">100*G5/M5</f>
        <v>0.26560395428571432</v>
      </c>
      <c r="T5" s="3">
        <f t="shared" si="0"/>
        <v>9.992127666666667E-2</v>
      </c>
    </row>
    <row r="6" spans="1:20" x14ac:dyDescent="0.3">
      <c r="A6">
        <v>3</v>
      </c>
      <c r="B6" t="s">
        <v>62</v>
      </c>
      <c r="D6">
        <v>2.1</v>
      </c>
      <c r="E6">
        <v>157.33492699999999</v>
      </c>
      <c r="F6">
        <v>60.006979899999997</v>
      </c>
      <c r="G6" s="1">
        <v>3.1234650799999999</v>
      </c>
      <c r="H6" s="1">
        <v>4.8526119800000001E-5</v>
      </c>
      <c r="I6">
        <v>8.1791082900000006E-2</v>
      </c>
      <c r="J6" s="1">
        <v>84.376534899999996</v>
      </c>
      <c r="K6">
        <v>150.01484099999999</v>
      </c>
      <c r="L6">
        <v>52740.403299999998</v>
      </c>
      <c r="M6">
        <v>87.5</v>
      </c>
      <c r="N6">
        <v>150</v>
      </c>
      <c r="O6">
        <v>49762.5</v>
      </c>
      <c r="P6">
        <v>50000</v>
      </c>
      <c r="Q6">
        <v>3.2053046799999998</v>
      </c>
      <c r="R6">
        <v>52974.794699999999</v>
      </c>
      <c r="S6" s="3">
        <f t="shared" si="0"/>
        <v>3.569674377142857</v>
      </c>
      <c r="T6" s="3">
        <f t="shared" si="0"/>
        <v>3.2350746533333334E-5</v>
      </c>
    </row>
    <row r="7" spans="1:20" x14ac:dyDescent="0.3">
      <c r="A7">
        <v>4</v>
      </c>
      <c r="B7" t="s">
        <v>9</v>
      </c>
      <c r="D7">
        <v>2.2000000000000002</v>
      </c>
      <c r="E7">
        <v>158.948159</v>
      </c>
      <c r="F7">
        <v>60.056429700000002</v>
      </c>
      <c r="G7" s="1">
        <v>18.014553100000001</v>
      </c>
      <c r="H7" s="1">
        <v>2.8838552099999998E-4</v>
      </c>
      <c r="I7" s="1">
        <v>0.54870268799999999</v>
      </c>
      <c r="J7" s="1">
        <v>69.485446899999999</v>
      </c>
      <c r="K7">
        <v>150.014602</v>
      </c>
      <c r="L7">
        <v>52739.936399999999</v>
      </c>
      <c r="M7">
        <v>87.5</v>
      </c>
      <c r="N7">
        <v>150</v>
      </c>
      <c r="O7">
        <v>49762.5</v>
      </c>
      <c r="P7">
        <v>50000</v>
      </c>
      <c r="Q7" s="1">
        <v>18.563544199999999</v>
      </c>
      <c r="R7">
        <v>52959.436500000003</v>
      </c>
      <c r="S7" s="3">
        <f t="shared" si="0"/>
        <v>20.588060685714286</v>
      </c>
      <c r="T7" s="3">
        <f t="shared" si="0"/>
        <v>1.9225701399999998E-4</v>
      </c>
    </row>
    <row r="8" spans="1:20" x14ac:dyDescent="0.3">
      <c r="A8">
        <v>5</v>
      </c>
      <c r="B8" t="s">
        <v>9</v>
      </c>
      <c r="D8">
        <v>2.2999999999999998</v>
      </c>
      <c r="E8">
        <v>160.55789300000001</v>
      </c>
      <c r="F8">
        <v>60.104378099999998</v>
      </c>
      <c r="G8">
        <v>33.494938300000001</v>
      </c>
      <c r="H8" s="1">
        <v>5.5516593000000001E-4</v>
      </c>
      <c r="I8">
        <v>1.02297174</v>
      </c>
      <c r="J8" s="1">
        <v>54.0050618</v>
      </c>
      <c r="K8">
        <v>150.01433499999999</v>
      </c>
      <c r="L8">
        <v>52739.462099999997</v>
      </c>
      <c r="M8">
        <v>87.5</v>
      </c>
      <c r="N8">
        <v>150</v>
      </c>
      <c r="O8">
        <v>49762.5</v>
      </c>
      <c r="P8">
        <v>50000</v>
      </c>
      <c r="Q8">
        <v>34.518465200000001</v>
      </c>
      <c r="R8">
        <v>52943.481500000002</v>
      </c>
      <c r="S8" s="3">
        <f t="shared" si="0"/>
        <v>38.279929485714291</v>
      </c>
      <c r="T8" s="3">
        <f t="shared" si="0"/>
        <v>3.7011062000000001E-4</v>
      </c>
    </row>
    <row r="9" spans="1:20" x14ac:dyDescent="0.3">
      <c r="A9">
        <v>6</v>
      </c>
      <c r="B9" t="s">
        <v>9</v>
      </c>
      <c r="D9">
        <v>2.4</v>
      </c>
      <c r="E9">
        <v>162.16412600000001</v>
      </c>
      <c r="F9">
        <v>60.155143199999998</v>
      </c>
      <c r="G9">
        <v>49.575225000000003</v>
      </c>
      <c r="H9" s="1">
        <v>8.5613924999999999E-4</v>
      </c>
      <c r="I9">
        <v>1.51836137</v>
      </c>
      <c r="J9" s="1">
        <v>37.924775099999998</v>
      </c>
      <c r="K9">
        <v>150.01403400000001</v>
      </c>
      <c r="L9">
        <v>52738.966699999997</v>
      </c>
      <c r="M9">
        <v>87.5</v>
      </c>
      <c r="N9">
        <v>150</v>
      </c>
      <c r="O9">
        <v>49762.5</v>
      </c>
      <c r="P9">
        <v>50000</v>
      </c>
      <c r="Q9">
        <v>51.0944425</v>
      </c>
      <c r="R9">
        <v>52926.905599999998</v>
      </c>
      <c r="S9" s="3">
        <f t="shared" si="0"/>
        <v>56.657400000000003</v>
      </c>
      <c r="T9" s="3">
        <f t="shared" si="0"/>
        <v>5.7075949999999996E-4</v>
      </c>
    </row>
    <row r="10" spans="1:20" x14ac:dyDescent="0.3">
      <c r="A10">
        <v>7</v>
      </c>
      <c r="B10" t="s">
        <v>9</v>
      </c>
      <c r="D10">
        <v>2.5</v>
      </c>
      <c r="E10">
        <v>163.76658599999999</v>
      </c>
      <c r="F10">
        <v>60.208410000000001</v>
      </c>
      <c r="G10">
        <v>66.267561599999993</v>
      </c>
      <c r="H10">
        <v>1.2008037000000001E-3</v>
      </c>
      <c r="I10">
        <v>2.03559226</v>
      </c>
      <c r="J10" s="1">
        <v>21.232438500000001</v>
      </c>
      <c r="K10">
        <v>150.013689</v>
      </c>
      <c r="L10">
        <v>52738.449500000002</v>
      </c>
      <c r="M10">
        <v>87.5</v>
      </c>
      <c r="N10">
        <v>150</v>
      </c>
      <c r="O10">
        <v>49762.5</v>
      </c>
      <c r="P10">
        <v>50000</v>
      </c>
      <c r="Q10">
        <v>68.304354599999996</v>
      </c>
      <c r="R10">
        <v>52909.695599999999</v>
      </c>
      <c r="S10" s="3">
        <f t="shared" si="0"/>
        <v>75.734356114285703</v>
      </c>
      <c r="T10" s="3">
        <f t="shared" si="0"/>
        <v>8.0053580000000006E-4</v>
      </c>
    </row>
    <row r="11" spans="1:20" x14ac:dyDescent="0.3">
      <c r="A11">
        <v>8</v>
      </c>
      <c r="B11" t="s">
        <v>9</v>
      </c>
      <c r="D11">
        <v>2.6</v>
      </c>
      <c r="E11">
        <v>165.36552699999999</v>
      </c>
      <c r="F11">
        <v>60.264918000000002</v>
      </c>
      <c r="G11">
        <v>83.584202000000005</v>
      </c>
      <c r="H11">
        <v>1.60149648E-3</v>
      </c>
      <c r="I11">
        <v>2.5754412800000002</v>
      </c>
      <c r="J11" s="1">
        <v>3.9157979799999998</v>
      </c>
      <c r="K11">
        <v>150.01328899999999</v>
      </c>
      <c r="L11">
        <v>52737.909699999997</v>
      </c>
      <c r="M11">
        <v>87.5</v>
      </c>
      <c r="N11">
        <v>150</v>
      </c>
      <c r="O11">
        <v>49762.5</v>
      </c>
      <c r="P11">
        <v>50000</v>
      </c>
      <c r="Q11">
        <v>86.161244800000006</v>
      </c>
      <c r="R11">
        <v>52891.838799999998</v>
      </c>
      <c r="S11" s="3">
        <f t="shared" si="0"/>
        <v>95.524802285714287</v>
      </c>
      <c r="T11" s="3">
        <f t="shared" si="0"/>
        <v>1.0676643200000001E-3</v>
      </c>
    </row>
    <row r="12" spans="1:20" x14ac:dyDescent="0.3">
      <c r="A12">
        <v>9</v>
      </c>
      <c r="B12" t="s">
        <v>9</v>
      </c>
      <c r="D12">
        <v>2.7</v>
      </c>
      <c r="E12">
        <v>165.72852499999999</v>
      </c>
      <c r="F12">
        <v>60.954985999999998</v>
      </c>
      <c r="G12">
        <v>87.500000600000007</v>
      </c>
      <c r="H12">
        <v>1.8685113099999999</v>
      </c>
      <c r="I12">
        <v>4.9664191000000004</v>
      </c>
      <c r="J12" s="1">
        <v>2.48299942E-15</v>
      </c>
      <c r="K12">
        <v>148.146379</v>
      </c>
      <c r="L12">
        <v>52735.518700000001</v>
      </c>
      <c r="M12">
        <v>87.5</v>
      </c>
      <c r="N12">
        <v>150</v>
      </c>
      <c r="O12">
        <v>49762.5</v>
      </c>
      <c r="P12">
        <v>50000</v>
      </c>
      <c r="Q12">
        <v>94.334930999999997</v>
      </c>
      <c r="R12">
        <v>52883.665099999998</v>
      </c>
      <c r="S12" s="3">
        <f t="shared" si="0"/>
        <v>100.00000068571428</v>
      </c>
      <c r="T12" s="3">
        <f t="shared" si="0"/>
        <v>1.2456742066666666</v>
      </c>
    </row>
    <row r="13" spans="1:20" x14ac:dyDescent="0.3">
      <c r="A13">
        <v>10</v>
      </c>
      <c r="B13" t="s">
        <v>9</v>
      </c>
      <c r="D13">
        <v>2.8</v>
      </c>
      <c r="E13">
        <v>165.75971200000001</v>
      </c>
      <c r="F13">
        <v>61.983125200000003</v>
      </c>
      <c r="G13">
        <v>87.499973999999995</v>
      </c>
      <c r="H13">
        <v>7.7827084299999996</v>
      </c>
      <c r="I13">
        <v>6.1169855399999999</v>
      </c>
      <c r="J13" s="1">
        <v>1.08710319E-17</v>
      </c>
      <c r="K13">
        <v>142.23218299999999</v>
      </c>
      <c r="L13">
        <v>52734.3681</v>
      </c>
      <c r="M13">
        <v>87.5</v>
      </c>
      <c r="N13">
        <v>150</v>
      </c>
      <c r="O13">
        <v>49762.5</v>
      </c>
      <c r="P13">
        <v>50000</v>
      </c>
      <c r="Q13">
        <v>101.39966800000001</v>
      </c>
      <c r="R13">
        <v>52876.600299999998</v>
      </c>
      <c r="S13" s="3">
        <f t="shared" si="0"/>
        <v>99.999970285714284</v>
      </c>
      <c r="T13" s="3">
        <f t="shared" si="0"/>
        <v>5.1884722866666664</v>
      </c>
    </row>
    <row r="14" spans="1:20" x14ac:dyDescent="0.3">
      <c r="A14">
        <v>11</v>
      </c>
      <c r="B14" t="s">
        <v>9</v>
      </c>
      <c r="D14">
        <v>2.9</v>
      </c>
      <c r="E14">
        <v>165.80102299999999</v>
      </c>
      <c r="F14">
        <v>64.807465500000006</v>
      </c>
      <c r="G14">
        <v>87.499946300000005</v>
      </c>
      <c r="H14">
        <v>15.6168821</v>
      </c>
      <c r="I14">
        <v>7.7325739000000002</v>
      </c>
      <c r="J14" s="1">
        <v>4.8567329299999998E-18</v>
      </c>
      <c r="K14">
        <v>134.39802399999999</v>
      </c>
      <c r="L14">
        <v>52732.752500000002</v>
      </c>
      <c r="M14">
        <v>87.5</v>
      </c>
      <c r="N14">
        <v>150</v>
      </c>
      <c r="O14">
        <v>49762.5</v>
      </c>
      <c r="P14">
        <v>50000</v>
      </c>
      <c r="Q14">
        <v>110.849402</v>
      </c>
      <c r="R14">
        <v>52867.150600000001</v>
      </c>
      <c r="S14" s="3">
        <f t="shared" si="0"/>
        <v>99.999938628571442</v>
      </c>
      <c r="T14" s="3">
        <f t="shared" si="0"/>
        <v>10.411254733333333</v>
      </c>
    </row>
    <row r="15" spans="1:20" x14ac:dyDescent="0.3">
      <c r="A15">
        <v>12</v>
      </c>
      <c r="B15" t="s">
        <v>62</v>
      </c>
      <c r="D15">
        <v>3</v>
      </c>
      <c r="E15">
        <v>165.845418</v>
      </c>
      <c r="F15">
        <v>71.088597899999996</v>
      </c>
      <c r="G15">
        <v>87.511045899999999</v>
      </c>
      <c r="H15">
        <v>24.0320982</v>
      </c>
      <c r="I15">
        <v>10.4759723</v>
      </c>
      <c r="J15" s="1">
        <v>4.0080132800000003E-18</v>
      </c>
      <c r="K15">
        <v>125.976749</v>
      </c>
      <c r="L15">
        <v>52730.009700000002</v>
      </c>
      <c r="M15">
        <v>87.5</v>
      </c>
      <c r="N15">
        <v>150</v>
      </c>
      <c r="O15">
        <v>49762.5</v>
      </c>
      <c r="P15">
        <v>50000</v>
      </c>
      <c r="Q15">
        <v>122.019116</v>
      </c>
      <c r="R15">
        <v>52855.986400000002</v>
      </c>
      <c r="S15" s="3">
        <f t="shared" si="0"/>
        <v>100.01262388571428</v>
      </c>
      <c r="T15" s="3">
        <f t="shared" si="0"/>
        <v>16.0213988</v>
      </c>
    </row>
    <row r="16" spans="1:20" x14ac:dyDescent="0.3">
      <c r="A16">
        <v>13</v>
      </c>
      <c r="B16" t="s">
        <v>9</v>
      </c>
      <c r="D16">
        <v>3.1</v>
      </c>
      <c r="E16">
        <v>165.89055999999999</v>
      </c>
      <c r="F16">
        <v>82.515556900000007</v>
      </c>
      <c r="G16">
        <v>87.5</v>
      </c>
      <c r="H16">
        <v>32.606361700000001</v>
      </c>
      <c r="I16">
        <v>15.8259787</v>
      </c>
      <c r="J16" s="1">
        <v>1.2311251299999999E-18</v>
      </c>
      <c r="K16">
        <v>117.408528</v>
      </c>
      <c r="L16">
        <v>52724.659099999997</v>
      </c>
      <c r="M16">
        <v>87.5</v>
      </c>
      <c r="N16">
        <v>150</v>
      </c>
      <c r="O16">
        <v>49762.5</v>
      </c>
      <c r="P16">
        <v>50000</v>
      </c>
      <c r="Q16">
        <v>135.93234000000001</v>
      </c>
      <c r="R16">
        <v>52842.0677</v>
      </c>
      <c r="S16" s="3">
        <f t="shared" si="0"/>
        <v>100</v>
      </c>
      <c r="T16" s="3">
        <f t="shared" si="0"/>
        <v>21.737574466666668</v>
      </c>
    </row>
    <row r="17" spans="1:20" x14ac:dyDescent="0.3">
      <c r="A17">
        <v>14</v>
      </c>
      <c r="B17" t="s">
        <v>9</v>
      </c>
      <c r="D17">
        <v>3.2</v>
      </c>
      <c r="E17">
        <v>165.93569299999999</v>
      </c>
      <c r="F17">
        <v>96.775329600000006</v>
      </c>
      <c r="G17">
        <v>87.499926099999996</v>
      </c>
      <c r="H17">
        <v>41.181432700000002</v>
      </c>
      <c r="I17">
        <v>26.023101100000002</v>
      </c>
      <c r="J17" s="1">
        <v>6.9732364599999996E-19</v>
      </c>
      <c r="K17">
        <v>108.833437</v>
      </c>
      <c r="L17">
        <v>52714.462099999997</v>
      </c>
      <c r="M17">
        <v>87.5</v>
      </c>
      <c r="N17">
        <v>150</v>
      </c>
      <c r="O17">
        <v>49762.5</v>
      </c>
      <c r="P17">
        <v>50000</v>
      </c>
      <c r="Q17">
        <v>154.70446000000001</v>
      </c>
      <c r="R17">
        <v>52823.2955</v>
      </c>
      <c r="S17" s="3">
        <f t="shared" si="0"/>
        <v>99.999915542857138</v>
      </c>
      <c r="T17" s="3">
        <f t="shared" si="0"/>
        <v>27.454288466666672</v>
      </c>
    </row>
    <row r="18" spans="1:20" x14ac:dyDescent="0.3">
      <c r="A18">
        <v>15</v>
      </c>
      <c r="B18" t="s">
        <v>9</v>
      </c>
      <c r="D18">
        <v>3.3</v>
      </c>
      <c r="E18">
        <v>165.98059599999999</v>
      </c>
      <c r="F18">
        <v>113.289162</v>
      </c>
      <c r="G18">
        <v>87.499993399999994</v>
      </c>
      <c r="H18">
        <v>49.7316024</v>
      </c>
      <c r="I18">
        <v>47.448160600000001</v>
      </c>
      <c r="J18" s="1">
        <v>3.7358686200000002E-19</v>
      </c>
      <c r="K18">
        <v>100.28328500000001</v>
      </c>
      <c r="L18">
        <v>52693.036999999997</v>
      </c>
      <c r="M18">
        <v>87.5</v>
      </c>
      <c r="N18">
        <v>150</v>
      </c>
      <c r="O18">
        <v>49762.5</v>
      </c>
      <c r="P18">
        <v>50000</v>
      </c>
      <c r="Q18">
        <v>184.679756</v>
      </c>
      <c r="R18">
        <v>52793.320200000002</v>
      </c>
      <c r="S18" s="3">
        <f t="shared" si="0"/>
        <v>99.999992457142838</v>
      </c>
      <c r="T18" s="3">
        <f t="shared" si="0"/>
        <v>33.1544016</v>
      </c>
    </row>
    <row r="19" spans="1:20" x14ac:dyDescent="0.3">
      <c r="A19">
        <v>16</v>
      </c>
      <c r="B19" t="s">
        <v>9</v>
      </c>
      <c r="D19">
        <v>3.4</v>
      </c>
      <c r="E19">
        <v>166.02544700000001</v>
      </c>
      <c r="F19">
        <v>130.44463200000001</v>
      </c>
      <c r="G19">
        <v>87.499999599999995</v>
      </c>
      <c r="H19">
        <v>58.313698000000002</v>
      </c>
      <c r="I19">
        <v>96.644717499999999</v>
      </c>
      <c r="J19" s="1">
        <v>2.09614782E-19</v>
      </c>
      <c r="K19">
        <v>91.701191699999995</v>
      </c>
      <c r="L19">
        <v>52643.840400000001</v>
      </c>
      <c r="M19">
        <v>87.5</v>
      </c>
      <c r="N19">
        <v>150</v>
      </c>
      <c r="O19">
        <v>49762.5</v>
      </c>
      <c r="P19">
        <v>50000</v>
      </c>
      <c r="Q19">
        <v>242.458415</v>
      </c>
      <c r="R19">
        <v>52735.541599999997</v>
      </c>
      <c r="S19" s="3">
        <f t="shared" si="0"/>
        <v>99.99999954285714</v>
      </c>
      <c r="T19" s="3">
        <f t="shared" si="0"/>
        <v>38.875798666666668</v>
      </c>
    </row>
    <row r="20" spans="1:20" x14ac:dyDescent="0.3">
      <c r="A20">
        <v>17</v>
      </c>
      <c r="B20" t="s">
        <v>9</v>
      </c>
      <c r="D20">
        <v>3.5</v>
      </c>
      <c r="E20">
        <v>166.07060100000001</v>
      </c>
      <c r="F20">
        <v>143.55973</v>
      </c>
      <c r="G20">
        <v>87.499998500000004</v>
      </c>
      <c r="H20">
        <v>67.017351399999995</v>
      </c>
      <c r="I20">
        <v>196.29695599999999</v>
      </c>
      <c r="J20" s="1">
        <v>6.1708141699999997E-22</v>
      </c>
      <c r="K20">
        <v>82.997537899999998</v>
      </c>
      <c r="L20">
        <v>52544.188199999997</v>
      </c>
      <c r="M20">
        <v>87.5</v>
      </c>
      <c r="N20">
        <v>150</v>
      </c>
      <c r="O20">
        <v>49762.5</v>
      </c>
      <c r="P20">
        <v>50000</v>
      </c>
      <c r="Q20">
        <v>350.81430599999999</v>
      </c>
      <c r="R20">
        <v>52627.185700000002</v>
      </c>
      <c r="S20" s="3">
        <f t="shared" si="0"/>
        <v>99.999998285714284</v>
      </c>
      <c r="T20" s="3">
        <f t="shared" si="0"/>
        <v>44.678234266666664</v>
      </c>
    </row>
    <row r="21" spans="1:20" x14ac:dyDescent="0.3">
      <c r="A21">
        <v>18</v>
      </c>
      <c r="B21" t="s">
        <v>9</v>
      </c>
      <c r="D21">
        <v>3.6</v>
      </c>
      <c r="E21">
        <v>166.11554699999999</v>
      </c>
      <c r="F21">
        <v>150.71481299999999</v>
      </c>
      <c r="G21">
        <v>87.500000299999996</v>
      </c>
      <c r="H21">
        <v>75.711761999999993</v>
      </c>
      <c r="I21">
        <v>339.60137400000002</v>
      </c>
      <c r="J21" s="1">
        <v>4.1280197000000002E-19</v>
      </c>
      <c r="K21">
        <v>74.303128000000001</v>
      </c>
      <c r="L21">
        <v>52400.883699999998</v>
      </c>
      <c r="M21">
        <v>87.5</v>
      </c>
      <c r="N21">
        <v>150</v>
      </c>
      <c r="O21">
        <v>49762.5</v>
      </c>
      <c r="P21">
        <v>50000</v>
      </c>
      <c r="Q21">
        <v>502.81313599999999</v>
      </c>
      <c r="R21">
        <v>52475.186900000001</v>
      </c>
      <c r="S21" s="3">
        <f t="shared" ref="S21:T46" si="1">100*G21/M21</f>
        <v>100.00000034285713</v>
      </c>
      <c r="T21" s="3">
        <f t="shared" si="1"/>
        <v>50.474507999999993</v>
      </c>
    </row>
    <row r="22" spans="1:20" x14ac:dyDescent="0.3">
      <c r="A22">
        <v>19</v>
      </c>
      <c r="B22" t="s">
        <v>9</v>
      </c>
      <c r="D22">
        <v>3.7</v>
      </c>
      <c r="E22">
        <v>166.15927500000001</v>
      </c>
      <c r="F22">
        <v>154.43901099999999</v>
      </c>
      <c r="G22">
        <v>87.5</v>
      </c>
      <c r="H22">
        <v>84.158077199999994</v>
      </c>
      <c r="I22">
        <v>503.91697099999999</v>
      </c>
      <c r="J22" s="1">
        <v>9.8506260199999997E-23</v>
      </c>
      <c r="K22">
        <v>65.8568128</v>
      </c>
      <c r="L22">
        <v>52236.568099999997</v>
      </c>
      <c r="M22">
        <v>87.5</v>
      </c>
      <c r="N22">
        <v>150</v>
      </c>
      <c r="O22">
        <v>49762.5</v>
      </c>
      <c r="P22">
        <v>50000</v>
      </c>
      <c r="Q22">
        <v>675.57504800000004</v>
      </c>
      <c r="R22">
        <v>52302.425000000003</v>
      </c>
      <c r="S22" s="3">
        <f t="shared" si="1"/>
        <v>100</v>
      </c>
      <c r="T22" s="3">
        <f t="shared" si="1"/>
        <v>56.105384799999996</v>
      </c>
    </row>
    <row r="23" spans="1:20" x14ac:dyDescent="0.3">
      <c r="A23">
        <v>20</v>
      </c>
      <c r="B23" t="s">
        <v>9</v>
      </c>
      <c r="D23">
        <v>3.8</v>
      </c>
      <c r="E23">
        <v>166.20105799999999</v>
      </c>
      <c r="F23">
        <v>156.59085899999999</v>
      </c>
      <c r="G23">
        <v>87.5</v>
      </c>
      <c r="H23">
        <v>92.199173700000003</v>
      </c>
      <c r="I23">
        <v>677.50668700000006</v>
      </c>
      <c r="J23" s="1">
        <v>3.1097042200000001E-20</v>
      </c>
      <c r="K23">
        <v>57.815716299999998</v>
      </c>
      <c r="L23">
        <v>52062.9784</v>
      </c>
      <c r="M23">
        <v>87.5</v>
      </c>
      <c r="N23">
        <v>150</v>
      </c>
      <c r="O23">
        <v>49762.5</v>
      </c>
      <c r="P23">
        <v>50000</v>
      </c>
      <c r="Q23">
        <v>857.20586100000003</v>
      </c>
      <c r="R23">
        <v>52120.794099999999</v>
      </c>
      <c r="S23" s="3">
        <f t="shared" si="1"/>
        <v>100</v>
      </c>
      <c r="T23" s="3">
        <f t="shared" si="1"/>
        <v>61.466115800000004</v>
      </c>
    </row>
    <row r="24" spans="1:20" x14ac:dyDescent="0.3">
      <c r="A24">
        <v>21</v>
      </c>
      <c r="B24" t="s">
        <v>9</v>
      </c>
      <c r="D24">
        <v>3.9</v>
      </c>
      <c r="E24">
        <v>166.24038400000001</v>
      </c>
      <c r="F24">
        <v>157.973714</v>
      </c>
      <c r="G24">
        <v>87.5</v>
      </c>
      <c r="H24">
        <v>99.734673900000004</v>
      </c>
      <c r="I24">
        <v>855.879232</v>
      </c>
      <c r="J24" s="1">
        <v>1.7018862899999999E-20</v>
      </c>
      <c r="K24">
        <v>50.280216099999997</v>
      </c>
      <c r="L24">
        <v>51884.605900000002</v>
      </c>
      <c r="M24">
        <v>87.5</v>
      </c>
      <c r="N24">
        <v>150</v>
      </c>
      <c r="O24">
        <v>49762.5</v>
      </c>
      <c r="P24">
        <v>50000</v>
      </c>
      <c r="Q24">
        <v>1043.11391</v>
      </c>
      <c r="R24">
        <v>51934.886100000003</v>
      </c>
      <c r="S24" s="3">
        <f t="shared" si="1"/>
        <v>100</v>
      </c>
      <c r="T24" s="3">
        <f t="shared" si="1"/>
        <v>66.489782599999998</v>
      </c>
    </row>
    <row r="25" spans="1:20" x14ac:dyDescent="0.3">
      <c r="A25">
        <v>22</v>
      </c>
      <c r="B25" t="s">
        <v>9</v>
      </c>
      <c r="D25">
        <v>4</v>
      </c>
      <c r="E25">
        <v>166.27686199999999</v>
      </c>
      <c r="F25">
        <v>158.93898300000001</v>
      </c>
      <c r="G25">
        <v>87.499998300000001</v>
      </c>
      <c r="H25">
        <v>106.692778</v>
      </c>
      <c r="I25">
        <v>1037.2044699999999</v>
      </c>
      <c r="J25" s="1">
        <v>7.9667888199999997E-19</v>
      </c>
      <c r="K25">
        <v>43.322112699999998</v>
      </c>
      <c r="L25">
        <v>51703.280599999998</v>
      </c>
      <c r="M25">
        <v>87.5</v>
      </c>
      <c r="N25">
        <v>150</v>
      </c>
      <c r="O25">
        <v>49762.5</v>
      </c>
      <c r="P25">
        <v>50000</v>
      </c>
      <c r="Q25">
        <v>1231.39724</v>
      </c>
      <c r="R25">
        <v>51746.602800000001</v>
      </c>
      <c r="S25" s="3">
        <f t="shared" si="1"/>
        <v>99.999998057142861</v>
      </c>
      <c r="T25" s="3">
        <f t="shared" si="1"/>
        <v>71.128518666666665</v>
      </c>
    </row>
    <row r="26" spans="1:20" x14ac:dyDescent="0.3">
      <c r="A26">
        <v>23</v>
      </c>
      <c r="B26" t="s">
        <v>9</v>
      </c>
      <c r="D26">
        <v>4.0999999999999996</v>
      </c>
      <c r="E26">
        <v>166.31020799999999</v>
      </c>
      <c r="F26">
        <v>159.65616900000001</v>
      </c>
      <c r="G26">
        <v>87.499999099999997</v>
      </c>
      <c r="H26">
        <v>113.02494</v>
      </c>
      <c r="I26">
        <v>1220.6303399999999</v>
      </c>
      <c r="J26" s="1">
        <v>6.0622501999999998E-25</v>
      </c>
      <c r="K26">
        <v>36.989949899999999</v>
      </c>
      <c r="L26">
        <v>51519.854800000001</v>
      </c>
      <c r="M26">
        <v>87.5</v>
      </c>
      <c r="N26">
        <v>150</v>
      </c>
      <c r="O26">
        <v>49762.5</v>
      </c>
      <c r="P26">
        <v>50000</v>
      </c>
      <c r="Q26">
        <v>1421.1552799999999</v>
      </c>
      <c r="R26">
        <v>51556.844700000001</v>
      </c>
      <c r="S26" s="3">
        <f t="shared" si="1"/>
        <v>99.999998971428582</v>
      </c>
      <c r="T26" s="3">
        <f t="shared" si="1"/>
        <v>75.34996000000001</v>
      </c>
    </row>
    <row r="27" spans="1:20" x14ac:dyDescent="0.3">
      <c r="A27">
        <v>24</v>
      </c>
      <c r="B27" t="s">
        <v>9</v>
      </c>
      <c r="D27">
        <v>4.2</v>
      </c>
      <c r="E27">
        <v>166.34024600000001</v>
      </c>
      <c r="F27">
        <v>160.21508299999999</v>
      </c>
      <c r="G27">
        <v>87.499999399999993</v>
      </c>
      <c r="H27">
        <v>118.703715</v>
      </c>
      <c r="I27">
        <v>1405.72345</v>
      </c>
      <c r="J27" s="1">
        <v>4.7436119599999998E-24</v>
      </c>
      <c r="K27">
        <v>31.3111754</v>
      </c>
      <c r="L27">
        <v>51334.761700000003</v>
      </c>
      <c r="M27">
        <v>87.5</v>
      </c>
      <c r="N27">
        <v>150</v>
      </c>
      <c r="O27">
        <v>49762.5</v>
      </c>
      <c r="P27">
        <v>50000</v>
      </c>
      <c r="Q27">
        <v>1611.92716</v>
      </c>
      <c r="R27">
        <v>51366.072800000002</v>
      </c>
      <c r="S27" s="3">
        <f t="shared" si="1"/>
        <v>99.999999314285716</v>
      </c>
      <c r="T27" s="3">
        <f t="shared" si="1"/>
        <v>79.135810000000006</v>
      </c>
    </row>
    <row r="28" spans="1:20" x14ac:dyDescent="0.3">
      <c r="A28">
        <v>25</v>
      </c>
      <c r="B28" t="s">
        <v>9</v>
      </c>
      <c r="D28">
        <v>4.3</v>
      </c>
      <c r="E28">
        <v>166.366917</v>
      </c>
      <c r="F28">
        <v>160.66691299999999</v>
      </c>
      <c r="G28">
        <v>87.499999599999995</v>
      </c>
      <c r="H28">
        <v>123.723778</v>
      </c>
      <c r="I28">
        <v>1592.22487</v>
      </c>
      <c r="J28" s="1">
        <v>6.27776889E-21</v>
      </c>
      <c r="K28">
        <v>26.291111399999998</v>
      </c>
      <c r="L28">
        <v>51148.260199999997</v>
      </c>
      <c r="M28">
        <v>87.5</v>
      </c>
      <c r="N28">
        <v>150</v>
      </c>
      <c r="O28">
        <v>49762.5</v>
      </c>
      <c r="P28">
        <v>50000</v>
      </c>
      <c r="Q28">
        <v>1803.44865</v>
      </c>
      <c r="R28">
        <v>51174.551399999997</v>
      </c>
      <c r="S28" s="3">
        <f t="shared" si="1"/>
        <v>99.99999954285714</v>
      </c>
      <c r="T28" s="3">
        <f t="shared" si="1"/>
        <v>82.482518666666664</v>
      </c>
    </row>
    <row r="29" spans="1:20" x14ac:dyDescent="0.3">
      <c r="A29">
        <v>26</v>
      </c>
      <c r="B29" t="s">
        <v>9</v>
      </c>
      <c r="D29">
        <v>4.4000000000000004</v>
      </c>
      <c r="E29">
        <v>166.39026899999999</v>
      </c>
      <c r="F29">
        <v>161.04261399999999</v>
      </c>
      <c r="G29">
        <v>87.499999700000004</v>
      </c>
      <c r="H29">
        <v>128.10062300000001</v>
      </c>
      <c r="I29">
        <v>1779.9563599999999</v>
      </c>
      <c r="J29" s="1">
        <v>1.8806829299999998E-21</v>
      </c>
      <c r="K29">
        <v>21.914266999999999</v>
      </c>
      <c r="L29">
        <v>50960.5288</v>
      </c>
      <c r="M29">
        <v>87.5</v>
      </c>
      <c r="N29">
        <v>150</v>
      </c>
      <c r="O29">
        <v>49762.5</v>
      </c>
      <c r="P29">
        <v>50000</v>
      </c>
      <c r="Q29">
        <v>1995.5569800000001</v>
      </c>
      <c r="R29">
        <v>50982.442999999999</v>
      </c>
      <c r="S29" s="3">
        <f t="shared" si="1"/>
        <v>99.999999657142865</v>
      </c>
      <c r="T29" s="3">
        <f t="shared" si="1"/>
        <v>85.400415333333342</v>
      </c>
    </row>
    <row r="30" spans="1:20" x14ac:dyDescent="0.3">
      <c r="A30">
        <v>27</v>
      </c>
      <c r="B30" t="s">
        <v>9</v>
      </c>
      <c r="D30">
        <v>4.5</v>
      </c>
      <c r="E30">
        <v>166.41045199999999</v>
      </c>
      <c r="F30">
        <v>161.361831</v>
      </c>
      <c r="G30">
        <v>87.499999799999998</v>
      </c>
      <c r="H30">
        <v>131.867594</v>
      </c>
      <c r="I30">
        <v>1968.7763600000001</v>
      </c>
      <c r="J30" s="1">
        <v>1.9711605700000001E-22</v>
      </c>
      <c r="K30">
        <v>18.147296000000001</v>
      </c>
      <c r="L30">
        <v>50771.7088</v>
      </c>
      <c r="M30">
        <v>87.5</v>
      </c>
      <c r="N30">
        <v>150</v>
      </c>
      <c r="O30">
        <v>49762.5</v>
      </c>
      <c r="P30">
        <v>50000</v>
      </c>
      <c r="Q30">
        <v>2188.1439500000001</v>
      </c>
      <c r="R30">
        <v>50789.856</v>
      </c>
      <c r="S30" s="3">
        <f t="shared" si="1"/>
        <v>99.999999771428577</v>
      </c>
      <c r="T30" s="3">
        <f t="shared" si="1"/>
        <v>87.911729333333327</v>
      </c>
    </row>
    <row r="31" spans="1:20" x14ac:dyDescent="0.3">
      <c r="A31">
        <v>28</v>
      </c>
      <c r="B31" t="s">
        <v>9</v>
      </c>
      <c r="D31">
        <v>4.5999999999999996</v>
      </c>
      <c r="E31">
        <v>166.42769000000001</v>
      </c>
      <c r="F31">
        <v>161.63756100000001</v>
      </c>
      <c r="G31">
        <v>87.499999900000006</v>
      </c>
      <c r="H31">
        <v>135.071607</v>
      </c>
      <c r="I31">
        <v>2158.5605300000002</v>
      </c>
      <c r="J31" s="1">
        <v>7.7950411700000004E-22</v>
      </c>
      <c r="K31">
        <v>14.9432829</v>
      </c>
      <c r="L31">
        <v>50581.924599999998</v>
      </c>
      <c r="M31">
        <v>87.5</v>
      </c>
      <c r="N31">
        <v>150</v>
      </c>
      <c r="O31">
        <v>49762.5</v>
      </c>
      <c r="P31">
        <v>50000</v>
      </c>
      <c r="Q31">
        <v>2381.13213</v>
      </c>
      <c r="R31">
        <v>50596.867899999997</v>
      </c>
      <c r="S31" s="3">
        <f t="shared" si="1"/>
        <v>99.999999885714288</v>
      </c>
      <c r="T31" s="3">
        <f t="shared" si="1"/>
        <v>90.047737999999995</v>
      </c>
    </row>
    <row r="32" spans="1:20" x14ac:dyDescent="0.3">
      <c r="A32">
        <v>29</v>
      </c>
      <c r="B32" t="s">
        <v>9</v>
      </c>
      <c r="D32">
        <v>4.7</v>
      </c>
      <c r="E32">
        <v>166.44225700000001</v>
      </c>
      <c r="F32">
        <v>161.878738</v>
      </c>
      <c r="G32">
        <v>87.499999900000006</v>
      </c>
      <c r="H32">
        <v>137.76829000000001</v>
      </c>
      <c r="I32">
        <v>2349.1941200000001</v>
      </c>
      <c r="J32" s="1">
        <v>3.1598695100000001E-22</v>
      </c>
      <c r="K32">
        <v>12.246599399999999</v>
      </c>
      <c r="L32">
        <v>50391.290999999997</v>
      </c>
      <c r="M32">
        <v>87.5</v>
      </c>
      <c r="N32">
        <v>150</v>
      </c>
      <c r="O32">
        <v>49762.5</v>
      </c>
      <c r="P32">
        <v>50000</v>
      </c>
      <c r="Q32">
        <v>2574.4624100000001</v>
      </c>
      <c r="R32">
        <v>50403.537600000003</v>
      </c>
      <c r="S32" s="3">
        <f t="shared" si="1"/>
        <v>99.999999885714288</v>
      </c>
      <c r="T32" s="3">
        <f t="shared" si="1"/>
        <v>91.845526666666672</v>
      </c>
    </row>
    <row r="33" spans="1:20" x14ac:dyDescent="0.3">
      <c r="A33">
        <v>30</v>
      </c>
      <c r="B33" t="s">
        <v>9</v>
      </c>
      <c r="D33">
        <v>4.8</v>
      </c>
      <c r="E33">
        <v>166.454454</v>
      </c>
      <c r="F33">
        <v>162.091736</v>
      </c>
      <c r="G33">
        <v>87.499999900000006</v>
      </c>
      <c r="H33">
        <v>140.01731599999999</v>
      </c>
      <c r="I33">
        <v>2540.5699500000001</v>
      </c>
      <c r="J33" s="1">
        <v>8.5200039899999996E-23</v>
      </c>
      <c r="K33">
        <v>9.9975742499999996</v>
      </c>
      <c r="L33">
        <v>50199.915200000003</v>
      </c>
      <c r="M33">
        <v>87.5</v>
      </c>
      <c r="N33">
        <v>150</v>
      </c>
      <c r="O33">
        <v>49762.5</v>
      </c>
      <c r="P33">
        <v>50000</v>
      </c>
      <c r="Q33">
        <v>2768.08727</v>
      </c>
      <c r="R33">
        <v>50209.912700000001</v>
      </c>
      <c r="S33" s="3">
        <f t="shared" si="1"/>
        <v>99.999999885714288</v>
      </c>
      <c r="T33" s="3">
        <f t="shared" si="1"/>
        <v>93.344877333333329</v>
      </c>
    </row>
    <row r="34" spans="1:20" x14ac:dyDescent="0.3">
      <c r="A34">
        <v>31</v>
      </c>
      <c r="B34" t="s">
        <v>9</v>
      </c>
      <c r="D34">
        <v>4.9000000000000004</v>
      </c>
      <c r="E34">
        <v>166.46458799999999</v>
      </c>
      <c r="F34">
        <v>162.28126800000001</v>
      </c>
      <c r="G34">
        <v>87.5</v>
      </c>
      <c r="H34">
        <v>141.87846200000001</v>
      </c>
      <c r="I34">
        <v>2732.5886999999998</v>
      </c>
      <c r="J34" s="1">
        <v>2.4654085700000001E-20</v>
      </c>
      <c r="K34">
        <v>8.1364282699999997</v>
      </c>
      <c r="L34">
        <v>50007.896399999998</v>
      </c>
      <c r="M34">
        <v>87.5</v>
      </c>
      <c r="N34">
        <v>150</v>
      </c>
      <c r="O34">
        <v>49762.5</v>
      </c>
      <c r="P34">
        <v>50000</v>
      </c>
      <c r="Q34">
        <v>2961.9671699999999</v>
      </c>
      <c r="R34">
        <v>50016.032800000001</v>
      </c>
      <c r="S34" s="3">
        <f t="shared" si="1"/>
        <v>100</v>
      </c>
      <c r="T34" s="3">
        <f t="shared" si="1"/>
        <v>94.585641333333342</v>
      </c>
    </row>
    <row r="35" spans="1:20" x14ac:dyDescent="0.3">
      <c r="A35">
        <v>32</v>
      </c>
      <c r="B35" t="s">
        <v>9</v>
      </c>
      <c r="D35">
        <v>5</v>
      </c>
      <c r="E35">
        <v>166.47295199999999</v>
      </c>
      <c r="F35">
        <v>162.45093</v>
      </c>
      <c r="G35">
        <v>87.5</v>
      </c>
      <c r="H35">
        <v>143.408682</v>
      </c>
      <c r="I35">
        <v>2925.1597700000002</v>
      </c>
      <c r="J35" s="1">
        <v>3.8706453500000001E-22</v>
      </c>
      <c r="K35">
        <v>6.6062076999999997</v>
      </c>
      <c r="L35">
        <v>49815.325299999997</v>
      </c>
      <c r="M35">
        <v>87.5</v>
      </c>
      <c r="N35">
        <v>150</v>
      </c>
      <c r="O35">
        <v>49762.5</v>
      </c>
      <c r="P35">
        <v>50000</v>
      </c>
      <c r="Q35">
        <v>3156.06846</v>
      </c>
      <c r="R35">
        <v>49821.931499999999</v>
      </c>
      <c r="S35" s="3">
        <f t="shared" si="1"/>
        <v>100</v>
      </c>
      <c r="T35" s="3">
        <f t="shared" si="1"/>
        <v>95.605788000000004</v>
      </c>
    </row>
    <row r="36" spans="1:20" x14ac:dyDescent="0.3">
      <c r="A36">
        <v>33</v>
      </c>
      <c r="B36" t="s">
        <v>9</v>
      </c>
      <c r="D36">
        <v>5.0999999999999996</v>
      </c>
      <c r="E36">
        <v>166.47981999999999</v>
      </c>
      <c r="F36">
        <v>162.603557</v>
      </c>
      <c r="G36">
        <v>87.5</v>
      </c>
      <c r="H36">
        <v>144.66019900000001</v>
      </c>
      <c r="I36">
        <v>3118.2020000000002</v>
      </c>
      <c r="J36" s="1">
        <v>1.24160939E-25</v>
      </c>
      <c r="K36">
        <v>5.3546909899999999</v>
      </c>
      <c r="L36">
        <v>49622.283100000001</v>
      </c>
      <c r="M36">
        <v>87.5</v>
      </c>
      <c r="N36">
        <v>150</v>
      </c>
      <c r="O36">
        <v>49762.5</v>
      </c>
      <c r="P36">
        <v>50000</v>
      </c>
      <c r="Q36">
        <v>3350.3622</v>
      </c>
      <c r="R36">
        <v>49627.637799999997</v>
      </c>
      <c r="S36" s="3">
        <f t="shared" si="1"/>
        <v>100</v>
      </c>
      <c r="T36" s="3">
        <f t="shared" si="1"/>
        <v>96.440132666666671</v>
      </c>
    </row>
    <row r="37" spans="1:20" x14ac:dyDescent="0.3">
      <c r="A37">
        <v>34</v>
      </c>
      <c r="B37" t="s">
        <v>9</v>
      </c>
      <c r="D37">
        <v>5.2</v>
      </c>
      <c r="E37">
        <v>166.485435</v>
      </c>
      <c r="F37">
        <v>162.741435</v>
      </c>
      <c r="G37">
        <v>87.5</v>
      </c>
      <c r="H37">
        <v>145.67948699999999</v>
      </c>
      <c r="I37">
        <v>3311.64392</v>
      </c>
      <c r="J37" s="1">
        <v>3.85543668E-22</v>
      </c>
      <c r="K37">
        <v>4.3354032800000004</v>
      </c>
      <c r="L37">
        <v>49428.841200000003</v>
      </c>
      <c r="M37">
        <v>87.5</v>
      </c>
      <c r="N37">
        <v>150</v>
      </c>
      <c r="O37">
        <v>49762.5</v>
      </c>
      <c r="P37">
        <v>50000</v>
      </c>
      <c r="Q37">
        <v>3544.82341</v>
      </c>
      <c r="R37">
        <v>49433.176599999999</v>
      </c>
      <c r="S37" s="3">
        <f t="shared" si="1"/>
        <v>100</v>
      </c>
      <c r="T37" s="3">
        <f t="shared" si="1"/>
        <v>97.119657999999987</v>
      </c>
    </row>
    <row r="38" spans="1:20" x14ac:dyDescent="0.3">
      <c r="A38">
        <v>35</v>
      </c>
      <c r="B38" t="s">
        <v>9</v>
      </c>
      <c r="D38">
        <v>5.3</v>
      </c>
      <c r="E38">
        <v>166.49001200000001</v>
      </c>
      <c r="F38">
        <v>162.86644699999999</v>
      </c>
      <c r="G38">
        <v>87.5</v>
      </c>
      <c r="H38">
        <v>146.506946</v>
      </c>
      <c r="I38">
        <v>3505.4235199999998</v>
      </c>
      <c r="J38" s="1">
        <v>3.9419170499999999E-25</v>
      </c>
      <c r="K38">
        <v>3.50794352</v>
      </c>
      <c r="L38">
        <v>49235.061600000001</v>
      </c>
      <c r="M38">
        <v>87.5</v>
      </c>
      <c r="N38">
        <v>150</v>
      </c>
      <c r="O38">
        <v>49762.5</v>
      </c>
      <c r="P38">
        <v>50000</v>
      </c>
      <c r="Q38">
        <v>3739.4304699999998</v>
      </c>
      <c r="R38">
        <v>49238.569499999998</v>
      </c>
      <c r="S38" s="3">
        <f t="shared" si="1"/>
        <v>100</v>
      </c>
      <c r="T38" s="3">
        <f t="shared" si="1"/>
        <v>97.671297333333342</v>
      </c>
    </row>
    <row r="39" spans="1:20" x14ac:dyDescent="0.3">
      <c r="A39">
        <v>36</v>
      </c>
      <c r="B39" t="s">
        <v>9</v>
      </c>
      <c r="D39">
        <v>5.4</v>
      </c>
      <c r="E39">
        <v>166.49373199999999</v>
      </c>
      <c r="F39">
        <v>162.98017100000001</v>
      </c>
      <c r="G39">
        <v>87.5</v>
      </c>
      <c r="H39">
        <v>147.177054</v>
      </c>
      <c r="I39">
        <v>3699.4876599999998</v>
      </c>
      <c r="J39" s="1">
        <v>1.92219353E-22</v>
      </c>
      <c r="K39">
        <v>2.8378360300000001</v>
      </c>
      <c r="L39">
        <v>49040.997499999998</v>
      </c>
      <c r="M39">
        <v>87.5</v>
      </c>
      <c r="N39">
        <v>150</v>
      </c>
      <c r="O39">
        <v>49762.5</v>
      </c>
      <c r="P39">
        <v>50000</v>
      </c>
      <c r="Q39">
        <v>3934.16471</v>
      </c>
      <c r="R39">
        <v>49043.835299999999</v>
      </c>
      <c r="S39" s="3">
        <f t="shared" si="1"/>
        <v>100</v>
      </c>
      <c r="T39" s="3">
        <f t="shared" si="1"/>
        <v>98.118035999999989</v>
      </c>
    </row>
    <row r="40" spans="1:20" x14ac:dyDescent="0.3">
      <c r="A40">
        <v>37</v>
      </c>
      <c r="B40" t="s">
        <v>9</v>
      </c>
      <c r="D40">
        <v>5.5</v>
      </c>
      <c r="E40">
        <v>166.49675099999999</v>
      </c>
      <c r="F40">
        <v>163.083945</v>
      </c>
      <c r="G40">
        <v>87.5</v>
      </c>
      <c r="H40">
        <v>147.71879999999999</v>
      </c>
      <c r="I40">
        <v>3893.7912500000002</v>
      </c>
      <c r="J40" s="1">
        <v>1.91817361E-22</v>
      </c>
      <c r="K40">
        <v>2.2960899499999998</v>
      </c>
      <c r="L40">
        <v>48846.693899999998</v>
      </c>
      <c r="M40">
        <v>87.5</v>
      </c>
      <c r="N40">
        <v>150</v>
      </c>
      <c r="O40">
        <v>49762.5</v>
      </c>
      <c r="P40">
        <v>50000</v>
      </c>
      <c r="Q40">
        <v>4129.0100499999999</v>
      </c>
      <c r="R40">
        <v>48848.99</v>
      </c>
      <c r="S40" s="3">
        <f t="shared" si="1"/>
        <v>100</v>
      </c>
      <c r="T40" s="3">
        <f t="shared" si="1"/>
        <v>98.479199999999992</v>
      </c>
    </row>
    <row r="41" spans="1:20" x14ac:dyDescent="0.3">
      <c r="A41">
        <v>38</v>
      </c>
      <c r="B41" t="s">
        <v>9</v>
      </c>
      <c r="D41">
        <v>5.6</v>
      </c>
      <c r="E41">
        <v>166.49919800000001</v>
      </c>
      <c r="F41">
        <v>163.17891299999999</v>
      </c>
      <c r="G41">
        <v>87.5</v>
      </c>
      <c r="H41">
        <v>148.156283</v>
      </c>
      <c r="I41">
        <v>4088.2963500000001</v>
      </c>
      <c r="J41" s="1">
        <v>3.9182235200000001E-25</v>
      </c>
      <c r="K41">
        <v>1.85860746</v>
      </c>
      <c r="L41">
        <v>48652.188800000004</v>
      </c>
      <c r="M41">
        <v>87.5</v>
      </c>
      <c r="N41">
        <v>150</v>
      </c>
      <c r="O41">
        <v>49762.5</v>
      </c>
      <c r="P41">
        <v>50000</v>
      </c>
      <c r="Q41">
        <v>4323.9526299999998</v>
      </c>
      <c r="R41">
        <v>48654.047400000003</v>
      </c>
      <c r="S41" s="3">
        <f t="shared" si="1"/>
        <v>100</v>
      </c>
      <c r="T41" s="3">
        <f t="shared" si="1"/>
        <v>98.77085533333333</v>
      </c>
    </row>
    <row r="42" spans="1:20" x14ac:dyDescent="0.3">
      <c r="A42">
        <v>39</v>
      </c>
      <c r="B42" t="s">
        <v>9</v>
      </c>
      <c r="D42">
        <v>5.7</v>
      </c>
      <c r="E42">
        <v>166.501181</v>
      </c>
      <c r="F42">
        <v>163.26606000000001</v>
      </c>
      <c r="G42">
        <v>87.5</v>
      </c>
      <c r="H42">
        <v>148.50935000000001</v>
      </c>
      <c r="I42">
        <v>4282.9712</v>
      </c>
      <c r="J42" s="1">
        <v>1.4901306199999999E-21</v>
      </c>
      <c r="K42">
        <v>1.5055397699999999</v>
      </c>
      <c r="L42">
        <v>48457.513899999998</v>
      </c>
      <c r="M42">
        <v>87.5</v>
      </c>
      <c r="N42">
        <v>150</v>
      </c>
      <c r="O42">
        <v>49762.5</v>
      </c>
      <c r="P42">
        <v>50000</v>
      </c>
      <c r="Q42">
        <v>4518.9805500000002</v>
      </c>
      <c r="R42">
        <v>48459.019500000002</v>
      </c>
      <c r="S42" s="3">
        <f t="shared" si="1"/>
        <v>100</v>
      </c>
      <c r="T42" s="3">
        <f t="shared" si="1"/>
        <v>99.006233333333341</v>
      </c>
    </row>
    <row r="43" spans="1:20" x14ac:dyDescent="0.3">
      <c r="A43">
        <v>40</v>
      </c>
      <c r="B43" t="s">
        <v>9</v>
      </c>
      <c r="D43">
        <v>5.8</v>
      </c>
      <c r="E43">
        <v>166.50278700000001</v>
      </c>
      <c r="F43">
        <v>163.34624099999999</v>
      </c>
      <c r="G43">
        <v>87.5</v>
      </c>
      <c r="H43">
        <v>148.79423600000001</v>
      </c>
      <c r="I43">
        <v>4477.7893199999999</v>
      </c>
      <c r="J43" s="1">
        <v>3.6397020799999999E-22</v>
      </c>
      <c r="K43">
        <v>1.22065355</v>
      </c>
      <c r="L43">
        <v>48262.695800000001</v>
      </c>
      <c r="M43">
        <v>87.5</v>
      </c>
      <c r="N43">
        <v>150</v>
      </c>
      <c r="O43">
        <v>49762.5</v>
      </c>
      <c r="P43">
        <v>50000</v>
      </c>
      <c r="Q43">
        <v>4714.08356</v>
      </c>
      <c r="R43">
        <v>48263.916400000002</v>
      </c>
      <c r="S43" s="3">
        <f t="shared" si="1"/>
        <v>100</v>
      </c>
      <c r="T43" s="3">
        <f t="shared" si="1"/>
        <v>99.196157333333346</v>
      </c>
    </row>
    <row r="44" spans="1:20" x14ac:dyDescent="0.3">
      <c r="A44">
        <v>41</v>
      </c>
      <c r="B44" t="s">
        <v>9</v>
      </c>
      <c r="D44">
        <v>5.9</v>
      </c>
      <c r="E44">
        <v>166.504088</v>
      </c>
      <c r="F44">
        <v>163.420198</v>
      </c>
      <c r="G44">
        <v>87.5</v>
      </c>
      <c r="H44">
        <v>149.02414400000001</v>
      </c>
      <c r="I44">
        <v>4672.7287200000001</v>
      </c>
      <c r="J44" s="1">
        <v>3.8944200199999999E-22</v>
      </c>
      <c r="K44">
        <v>0.99074580899999998</v>
      </c>
      <c r="L44">
        <v>48067.756399999998</v>
      </c>
      <c r="M44">
        <v>87.5</v>
      </c>
      <c r="N44">
        <v>150</v>
      </c>
      <c r="O44">
        <v>49762.5</v>
      </c>
      <c r="P44">
        <v>50000</v>
      </c>
      <c r="Q44">
        <v>4909.2528700000003</v>
      </c>
      <c r="R44">
        <v>48068.747100000001</v>
      </c>
      <c r="S44" s="3">
        <f t="shared" si="1"/>
        <v>100</v>
      </c>
      <c r="T44" s="3">
        <f t="shared" si="1"/>
        <v>99.349429333333347</v>
      </c>
    </row>
    <row r="45" spans="1:20" x14ac:dyDescent="0.3">
      <c r="A45">
        <v>42</v>
      </c>
      <c r="B45" t="s">
        <v>9</v>
      </c>
      <c r="D45">
        <v>6</v>
      </c>
      <c r="E45">
        <v>166.505143</v>
      </c>
      <c r="F45">
        <v>163.48857899999999</v>
      </c>
      <c r="G45">
        <v>87.5</v>
      </c>
      <c r="H45">
        <v>149.209767</v>
      </c>
      <c r="I45">
        <v>4867.7711399999998</v>
      </c>
      <c r="J45" s="1">
        <v>3.8813852299999999E-25</v>
      </c>
      <c r="K45">
        <v>0.80512291300000005</v>
      </c>
      <c r="L45">
        <v>47872.714</v>
      </c>
      <c r="M45">
        <v>87.5</v>
      </c>
      <c r="N45">
        <v>150</v>
      </c>
      <c r="O45">
        <v>49762.5</v>
      </c>
      <c r="P45">
        <v>50000</v>
      </c>
      <c r="Q45">
        <v>5104.4808999999996</v>
      </c>
      <c r="R45">
        <v>47873.519099999998</v>
      </c>
      <c r="S45" s="3">
        <f t="shared" si="1"/>
        <v>100</v>
      </c>
      <c r="T45" s="3">
        <f t="shared" si="1"/>
        <v>99.47317799999999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077F2-07B5-4D10-ADC2-43CF8ADF0CD2}">
  <dimension ref="A3:T45"/>
  <sheetViews>
    <sheetView workbookViewId="0">
      <selection activeCell="A3" sqref="A3:R45"/>
    </sheetView>
  </sheetViews>
  <sheetFormatPr defaultRowHeight="14.4" x14ac:dyDescent="0.3"/>
  <cols>
    <col min="1" max="1" width="9.6640625" bestFit="1" customWidth="1"/>
    <col min="2" max="2" width="6.44140625" bestFit="1" customWidth="1"/>
    <col min="3" max="3" width="11.33203125" bestFit="1" customWidth="1"/>
    <col min="4" max="12" width="11" bestFit="1" customWidth="1"/>
    <col min="13" max="13" width="11.33203125" customWidth="1"/>
    <col min="14" max="15" width="11" bestFit="1" customWidth="1"/>
    <col min="19" max="19" width="12" bestFit="1" customWidth="1"/>
  </cols>
  <sheetData>
    <row r="3" spans="1:20" ht="28.8" x14ac:dyDescent="0.3">
      <c r="A3" t="s">
        <v>0</v>
      </c>
      <c r="B3" t="s">
        <v>1</v>
      </c>
      <c r="C3" t="s">
        <v>2</v>
      </c>
      <c r="D3" s="2" t="s">
        <v>3</v>
      </c>
      <c r="E3" s="2" t="s">
        <v>4</v>
      </c>
      <c r="F3" s="2" t="s">
        <v>5</v>
      </c>
      <c r="G3" s="2" t="s">
        <v>10</v>
      </c>
      <c r="H3" s="2" t="s">
        <v>11</v>
      </c>
      <c r="I3" s="2" t="s">
        <v>15</v>
      </c>
      <c r="J3" s="2" t="s">
        <v>12</v>
      </c>
      <c r="K3" s="2" t="s">
        <v>13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6</v>
      </c>
      <c r="Q3" s="2" t="s">
        <v>7</v>
      </c>
      <c r="R3" s="2" t="s">
        <v>8</v>
      </c>
      <c r="S3" s="2" t="s">
        <v>14</v>
      </c>
      <c r="T3" s="2" t="s">
        <v>20</v>
      </c>
    </row>
    <row r="4" spans="1:20" x14ac:dyDescent="0.3">
      <c r="A4">
        <v>1</v>
      </c>
      <c r="B4" t="s">
        <v>62</v>
      </c>
      <c r="D4">
        <v>0.5</v>
      </c>
      <c r="E4">
        <v>132.352383</v>
      </c>
      <c r="F4">
        <v>84.874013899999994</v>
      </c>
      <c r="G4" s="1">
        <v>1.19902957E-4</v>
      </c>
      <c r="H4" s="1">
        <v>4.35355016E-4</v>
      </c>
      <c r="I4" s="1">
        <v>5.3194632699999996E-6</v>
      </c>
      <c r="J4">
        <v>235.929472</v>
      </c>
      <c r="K4">
        <v>430.40633800000001</v>
      </c>
      <c r="L4">
        <v>52756.5389</v>
      </c>
      <c r="M4">
        <v>131.25</v>
      </c>
      <c r="N4">
        <v>112.5</v>
      </c>
      <c r="O4">
        <v>49756.25</v>
      </c>
      <c r="P4">
        <v>50000</v>
      </c>
      <c r="Q4">
        <v>5.6057743700000003E-4</v>
      </c>
      <c r="R4">
        <v>53422.8747</v>
      </c>
      <c r="S4" s="3">
        <f>100*G4/M4</f>
        <v>9.1354633904761913E-5</v>
      </c>
      <c r="T4" s="3">
        <f>100*H4/N4</f>
        <v>3.8698223644444444E-4</v>
      </c>
    </row>
    <row r="5" spans="1:20" x14ac:dyDescent="0.3">
      <c r="A5">
        <v>2</v>
      </c>
      <c r="B5" t="s">
        <v>9</v>
      </c>
      <c r="D5">
        <v>2</v>
      </c>
      <c r="E5">
        <v>155.665695</v>
      </c>
      <c r="F5">
        <v>60.094490399999998</v>
      </c>
      <c r="G5">
        <v>30.480263300000001</v>
      </c>
      <c r="H5" s="1">
        <v>4.7899562400000002E-4</v>
      </c>
      <c r="I5">
        <v>0.93040708699999997</v>
      </c>
      <c r="J5" s="1">
        <v>100.76973700000001</v>
      </c>
      <c r="K5">
        <v>112.514411</v>
      </c>
      <c r="L5">
        <v>52733.304700000001</v>
      </c>
      <c r="M5">
        <v>131.25</v>
      </c>
      <c r="N5">
        <v>112.5</v>
      </c>
      <c r="O5">
        <v>49756.25</v>
      </c>
      <c r="P5">
        <v>50000</v>
      </c>
      <c r="Q5">
        <v>31.411149399999999</v>
      </c>
      <c r="R5">
        <v>52946.588900000002</v>
      </c>
      <c r="S5" s="3">
        <f t="shared" ref="S5:T20" si="0">100*G5/M5</f>
        <v>23.223057752380953</v>
      </c>
      <c r="T5" s="3">
        <f t="shared" si="0"/>
        <v>4.2577388800000003E-4</v>
      </c>
    </row>
    <row r="6" spans="1:20" x14ac:dyDescent="0.3">
      <c r="A6">
        <v>3</v>
      </c>
      <c r="B6" t="s">
        <v>9</v>
      </c>
      <c r="D6">
        <v>2.1</v>
      </c>
      <c r="E6">
        <v>157.28473299999999</v>
      </c>
      <c r="F6">
        <v>60.140798500000002</v>
      </c>
      <c r="G6" s="1">
        <v>44.699493400000001</v>
      </c>
      <c r="H6" s="1">
        <v>7.2203878199999995E-4</v>
      </c>
      <c r="I6">
        <v>1.36786523</v>
      </c>
      <c r="J6" s="1">
        <v>86.550507300000007</v>
      </c>
      <c r="K6">
        <v>112.514168</v>
      </c>
      <c r="L6">
        <v>52732.867200000001</v>
      </c>
      <c r="M6">
        <v>131.25</v>
      </c>
      <c r="N6">
        <v>112.5</v>
      </c>
      <c r="O6">
        <v>49756.25</v>
      </c>
      <c r="P6">
        <v>50000</v>
      </c>
      <c r="Q6">
        <v>46.068080700000003</v>
      </c>
      <c r="R6">
        <v>52931.931900000003</v>
      </c>
      <c r="S6" s="3">
        <f t="shared" si="0"/>
        <v>34.056756876190477</v>
      </c>
      <c r="T6" s="3">
        <f t="shared" si="0"/>
        <v>6.4181225066666664E-4</v>
      </c>
    </row>
    <row r="7" spans="1:20" x14ac:dyDescent="0.3">
      <c r="A7">
        <v>4</v>
      </c>
      <c r="B7" t="s">
        <v>9</v>
      </c>
      <c r="D7">
        <v>2.2000000000000002</v>
      </c>
      <c r="E7">
        <v>158.89960600000001</v>
      </c>
      <c r="F7">
        <v>60.187173399999999</v>
      </c>
      <c r="G7" s="1">
        <v>59.510029199999998</v>
      </c>
      <c r="H7" s="1">
        <v>9.9275976299999995E-4</v>
      </c>
      <c r="I7" s="1">
        <v>1.82583396</v>
      </c>
      <c r="J7" s="1">
        <v>71.739970900000003</v>
      </c>
      <c r="K7">
        <v>112.513897</v>
      </c>
      <c r="L7">
        <v>52732.409299999999</v>
      </c>
      <c r="M7">
        <v>131.25</v>
      </c>
      <c r="N7">
        <v>112.5</v>
      </c>
      <c r="O7">
        <v>49756.25</v>
      </c>
      <c r="P7">
        <v>50000</v>
      </c>
      <c r="Q7" s="1">
        <v>61.336855900000003</v>
      </c>
      <c r="R7">
        <v>52916.663099999998</v>
      </c>
      <c r="S7" s="3">
        <f t="shared" si="0"/>
        <v>45.340974628571431</v>
      </c>
      <c r="T7" s="3">
        <f t="shared" si="0"/>
        <v>8.824531226666667E-4</v>
      </c>
    </row>
    <row r="8" spans="1:20" x14ac:dyDescent="0.3">
      <c r="A8">
        <v>5</v>
      </c>
      <c r="B8" t="s">
        <v>9</v>
      </c>
      <c r="D8">
        <v>2.2999999999999998</v>
      </c>
      <c r="E8">
        <v>160.511301</v>
      </c>
      <c r="F8">
        <v>60.237102899999996</v>
      </c>
      <c r="G8">
        <v>74.9003424</v>
      </c>
      <c r="H8" s="1">
        <v>1.29722748E-3</v>
      </c>
      <c r="I8">
        <v>2.30429906</v>
      </c>
      <c r="J8" s="1">
        <v>56.349657700000002</v>
      </c>
      <c r="K8">
        <v>112.513593</v>
      </c>
      <c r="L8">
        <v>52731.930800000002</v>
      </c>
      <c r="M8">
        <v>131.25</v>
      </c>
      <c r="N8">
        <v>112.5</v>
      </c>
      <c r="O8">
        <v>49756.25</v>
      </c>
      <c r="P8">
        <v>50000</v>
      </c>
      <c r="Q8">
        <v>77.205938700000004</v>
      </c>
      <c r="R8">
        <v>52900.794099999999</v>
      </c>
      <c r="S8" s="3">
        <f t="shared" si="0"/>
        <v>57.066927542857144</v>
      </c>
      <c r="T8" s="3">
        <f t="shared" si="0"/>
        <v>1.1530910933333332E-3</v>
      </c>
    </row>
    <row r="9" spans="1:20" x14ac:dyDescent="0.3">
      <c r="A9">
        <v>6</v>
      </c>
      <c r="B9" t="s">
        <v>9</v>
      </c>
      <c r="D9">
        <v>2.4</v>
      </c>
      <c r="E9">
        <v>162.11949100000001</v>
      </c>
      <c r="F9">
        <v>60.2889579</v>
      </c>
      <c r="G9">
        <v>90.889828699999995</v>
      </c>
      <c r="H9" s="1">
        <v>1.643816E-3</v>
      </c>
      <c r="I9">
        <v>2.8041402799999999</v>
      </c>
      <c r="J9" s="1">
        <v>40.3601715</v>
      </c>
      <c r="K9">
        <v>112.513246</v>
      </c>
      <c r="L9">
        <v>52731.430999999997</v>
      </c>
      <c r="M9">
        <v>131.25</v>
      </c>
      <c r="N9">
        <v>112.5</v>
      </c>
      <c r="O9">
        <v>49756.25</v>
      </c>
      <c r="P9">
        <v>50000</v>
      </c>
      <c r="Q9">
        <v>93.695612800000006</v>
      </c>
      <c r="R9">
        <v>52884.304400000001</v>
      </c>
      <c r="S9" s="3">
        <f t="shared" si="0"/>
        <v>69.249393295238093</v>
      </c>
      <c r="T9" s="3">
        <f t="shared" si="0"/>
        <v>1.4611697777777777E-3</v>
      </c>
    </row>
    <row r="10" spans="1:20" x14ac:dyDescent="0.3">
      <c r="A10">
        <v>7</v>
      </c>
      <c r="B10" t="s">
        <v>9</v>
      </c>
      <c r="D10">
        <v>2.5</v>
      </c>
      <c r="E10">
        <v>163.723973</v>
      </c>
      <c r="F10">
        <v>60.343701799999998</v>
      </c>
      <c r="G10">
        <v>107.490798</v>
      </c>
      <c r="H10">
        <v>2.0429665E-3</v>
      </c>
      <c r="I10">
        <v>3.32611371</v>
      </c>
      <c r="J10" s="1">
        <v>23.759202500000001</v>
      </c>
      <c r="K10">
        <v>112.51284699999999</v>
      </c>
      <c r="L10">
        <v>52730.909</v>
      </c>
      <c r="M10">
        <v>131.25</v>
      </c>
      <c r="N10">
        <v>112.5</v>
      </c>
      <c r="O10">
        <v>49756.25</v>
      </c>
      <c r="P10">
        <v>50000</v>
      </c>
      <c r="Q10">
        <v>110.81895400000001</v>
      </c>
      <c r="R10">
        <v>52867.180999999997</v>
      </c>
      <c r="S10" s="3">
        <f t="shared" si="0"/>
        <v>81.897750857142853</v>
      </c>
      <c r="T10" s="3">
        <f t="shared" si="0"/>
        <v>1.8159702222222223E-3</v>
      </c>
    </row>
    <row r="11" spans="1:20" x14ac:dyDescent="0.3">
      <c r="A11">
        <v>8</v>
      </c>
      <c r="B11" t="s">
        <v>9</v>
      </c>
      <c r="D11">
        <v>2.6</v>
      </c>
      <c r="E11">
        <v>165.32493500000001</v>
      </c>
      <c r="F11">
        <v>60.401673099999996</v>
      </c>
      <c r="G11">
        <v>124.71548900000001</v>
      </c>
      <c r="H11">
        <v>2.5078089100000001E-3</v>
      </c>
      <c r="I11">
        <v>3.8709773200000002</v>
      </c>
      <c r="J11" s="1">
        <v>6.5345108300000003</v>
      </c>
      <c r="K11">
        <v>112.512382</v>
      </c>
      <c r="L11">
        <v>52730.364099999999</v>
      </c>
      <c r="M11">
        <v>131.25</v>
      </c>
      <c r="N11">
        <v>112.5</v>
      </c>
      <c r="O11">
        <v>49756.25</v>
      </c>
      <c r="P11">
        <v>50000</v>
      </c>
      <c r="Q11">
        <v>128.58897400000001</v>
      </c>
      <c r="R11">
        <v>52849.411</v>
      </c>
      <c r="S11" s="3">
        <f t="shared" si="0"/>
        <v>95.021324952380951</v>
      </c>
      <c r="T11" s="3">
        <f t="shared" si="0"/>
        <v>2.2291634755555556E-3</v>
      </c>
    </row>
    <row r="12" spans="1:20" x14ac:dyDescent="0.3">
      <c r="A12">
        <v>9</v>
      </c>
      <c r="B12" t="s">
        <v>9</v>
      </c>
      <c r="D12">
        <v>2.7</v>
      </c>
      <c r="E12">
        <v>165.921964</v>
      </c>
      <c r="F12">
        <v>61.1327207</v>
      </c>
      <c r="G12">
        <v>131.250001</v>
      </c>
      <c r="H12">
        <v>1.05229175</v>
      </c>
      <c r="I12">
        <v>6.7219527699999997</v>
      </c>
      <c r="J12" s="1">
        <v>1.69218531E-15</v>
      </c>
      <c r="K12">
        <v>111.462598</v>
      </c>
      <c r="L12">
        <v>52727.513200000001</v>
      </c>
      <c r="M12">
        <v>131.25</v>
      </c>
      <c r="N12">
        <v>112.5</v>
      </c>
      <c r="O12">
        <v>49756.25</v>
      </c>
      <c r="P12">
        <v>50000</v>
      </c>
      <c r="Q12">
        <v>139.02424500000001</v>
      </c>
      <c r="R12">
        <v>52838.9758</v>
      </c>
      <c r="S12" s="3">
        <f t="shared" si="0"/>
        <v>100.00000076190476</v>
      </c>
      <c r="T12" s="3">
        <f t="shared" si="0"/>
        <v>0.93537044444444439</v>
      </c>
    </row>
    <row r="13" spans="1:20" x14ac:dyDescent="0.3">
      <c r="A13">
        <v>10</v>
      </c>
      <c r="B13" t="s">
        <v>9</v>
      </c>
      <c r="D13">
        <v>2.8</v>
      </c>
      <c r="E13">
        <v>165.94473500000001</v>
      </c>
      <c r="F13">
        <v>62.065180699999999</v>
      </c>
      <c r="G13">
        <v>131.25</v>
      </c>
      <c r="H13">
        <v>5.3721302700000004</v>
      </c>
      <c r="I13">
        <v>8.5042184400000007</v>
      </c>
      <c r="J13" s="1">
        <v>1.6068035699999999E-17</v>
      </c>
      <c r="K13">
        <v>107.14276</v>
      </c>
      <c r="L13">
        <v>52725.730900000002</v>
      </c>
      <c r="M13">
        <v>131.25</v>
      </c>
      <c r="N13">
        <v>112.5</v>
      </c>
      <c r="O13">
        <v>49756.25</v>
      </c>
      <c r="P13">
        <v>50000</v>
      </c>
      <c r="Q13">
        <v>145.126349</v>
      </c>
      <c r="R13">
        <v>52832.873699999996</v>
      </c>
      <c r="S13" s="3">
        <f t="shared" si="0"/>
        <v>100</v>
      </c>
      <c r="T13" s="3">
        <f t="shared" si="0"/>
        <v>4.775226906666667</v>
      </c>
    </row>
    <row r="14" spans="1:20" x14ac:dyDescent="0.3">
      <c r="A14">
        <v>11</v>
      </c>
      <c r="B14" t="s">
        <v>9</v>
      </c>
      <c r="D14">
        <v>2.9</v>
      </c>
      <c r="E14">
        <v>165.97619599999999</v>
      </c>
      <c r="F14">
        <v>63.861530199999997</v>
      </c>
      <c r="G14">
        <v>131.249989</v>
      </c>
      <c r="H14">
        <v>11.3388489</v>
      </c>
      <c r="I14">
        <v>10.3293432</v>
      </c>
      <c r="J14" s="1">
        <v>7.0532288999999996E-18</v>
      </c>
      <c r="K14">
        <v>101.176041</v>
      </c>
      <c r="L14">
        <v>52723.9058</v>
      </c>
      <c r="M14">
        <v>131.25</v>
      </c>
      <c r="N14">
        <v>112.5</v>
      </c>
      <c r="O14">
        <v>49756.25</v>
      </c>
      <c r="P14">
        <v>50000</v>
      </c>
      <c r="Q14">
        <v>152.918181</v>
      </c>
      <c r="R14">
        <v>52825.0818</v>
      </c>
      <c r="S14" s="3">
        <f t="shared" si="0"/>
        <v>99.99999161904762</v>
      </c>
      <c r="T14" s="3">
        <f t="shared" si="0"/>
        <v>10.0789768</v>
      </c>
    </row>
    <row r="15" spans="1:20" x14ac:dyDescent="0.3">
      <c r="A15">
        <v>12</v>
      </c>
      <c r="B15" t="s">
        <v>9</v>
      </c>
      <c r="D15">
        <v>3</v>
      </c>
      <c r="E15">
        <v>166.010209</v>
      </c>
      <c r="F15">
        <v>67.641887199999999</v>
      </c>
      <c r="G15">
        <v>131.24997200000001</v>
      </c>
      <c r="H15">
        <v>17.790760200000001</v>
      </c>
      <c r="I15">
        <v>13.0567347</v>
      </c>
      <c r="J15" s="1">
        <v>3.4229647699999998E-18</v>
      </c>
      <c r="K15">
        <v>94.724127300000006</v>
      </c>
      <c r="L15">
        <v>52721.178399999997</v>
      </c>
      <c r="M15">
        <v>131.25</v>
      </c>
      <c r="N15">
        <v>112.5</v>
      </c>
      <c r="O15">
        <v>49756.25</v>
      </c>
      <c r="P15">
        <v>50000</v>
      </c>
      <c r="Q15">
        <v>162.09746699999999</v>
      </c>
      <c r="R15">
        <v>52815.902499999997</v>
      </c>
      <c r="S15" s="3">
        <f t="shared" si="0"/>
        <v>99.999978666666678</v>
      </c>
      <c r="T15" s="3">
        <f t="shared" si="0"/>
        <v>15.814009066666669</v>
      </c>
    </row>
    <row r="16" spans="1:20" x14ac:dyDescent="0.3">
      <c r="A16">
        <v>13</v>
      </c>
      <c r="B16" t="s">
        <v>9</v>
      </c>
      <c r="D16">
        <v>3.1</v>
      </c>
      <c r="E16">
        <v>166.04478700000001</v>
      </c>
      <c r="F16">
        <v>75.093207100000001</v>
      </c>
      <c r="G16">
        <v>131.24992399999999</v>
      </c>
      <c r="H16">
        <v>24.3525907</v>
      </c>
      <c r="I16">
        <v>17.6840853</v>
      </c>
      <c r="J16" s="1">
        <v>1.7804469699999999E-18</v>
      </c>
      <c r="K16">
        <v>88.162302400000002</v>
      </c>
      <c r="L16">
        <v>52716.551099999997</v>
      </c>
      <c r="M16">
        <v>131.25</v>
      </c>
      <c r="N16">
        <v>112.5</v>
      </c>
      <c r="O16">
        <v>49756.25</v>
      </c>
      <c r="P16">
        <v>50000</v>
      </c>
      <c r="Q16">
        <v>173.28659999999999</v>
      </c>
      <c r="R16">
        <v>52804.713400000001</v>
      </c>
      <c r="S16" s="3">
        <f t="shared" si="0"/>
        <v>99.999942095238083</v>
      </c>
      <c r="T16" s="3">
        <f t="shared" si="0"/>
        <v>21.646747288888889</v>
      </c>
    </row>
    <row r="17" spans="1:20" x14ac:dyDescent="0.3">
      <c r="A17">
        <v>14</v>
      </c>
      <c r="B17" t="s">
        <v>9</v>
      </c>
      <c r="D17">
        <v>3.2</v>
      </c>
      <c r="E17">
        <v>166.07930200000001</v>
      </c>
      <c r="F17">
        <v>87.592223500000003</v>
      </c>
      <c r="G17">
        <v>131.249966</v>
      </c>
      <c r="H17">
        <v>30.907929800000002</v>
      </c>
      <c r="I17">
        <v>26.466768500000001</v>
      </c>
      <c r="J17" s="1">
        <v>9.6475191700000005E-19</v>
      </c>
      <c r="K17">
        <v>81.606957600000001</v>
      </c>
      <c r="L17">
        <v>52707.768400000001</v>
      </c>
      <c r="M17">
        <v>131.25</v>
      </c>
      <c r="N17">
        <v>112.5</v>
      </c>
      <c r="O17">
        <v>49756.25</v>
      </c>
      <c r="P17">
        <v>50000</v>
      </c>
      <c r="Q17">
        <v>188.624664</v>
      </c>
      <c r="R17">
        <v>52789.3753</v>
      </c>
      <c r="S17" s="3">
        <f t="shared" si="0"/>
        <v>99.999974095238102</v>
      </c>
      <c r="T17" s="3">
        <f t="shared" si="0"/>
        <v>27.473715377777779</v>
      </c>
    </row>
    <row r="18" spans="1:20" x14ac:dyDescent="0.3">
      <c r="A18">
        <v>15</v>
      </c>
      <c r="B18" t="s">
        <v>9</v>
      </c>
      <c r="D18">
        <v>3.3</v>
      </c>
      <c r="E18">
        <v>166.11356000000001</v>
      </c>
      <c r="F18">
        <v>104.96623200000001</v>
      </c>
      <c r="G18">
        <v>131.25000199999999</v>
      </c>
      <c r="H18">
        <v>37.426945799999999</v>
      </c>
      <c r="I18">
        <v>45.316465200000003</v>
      </c>
      <c r="J18" s="1">
        <v>5.3025978600000001E-19</v>
      </c>
      <c r="K18">
        <v>75.087942999999996</v>
      </c>
      <c r="L18">
        <v>52688.918599999997</v>
      </c>
      <c r="M18">
        <v>131.25</v>
      </c>
      <c r="N18">
        <v>112.5</v>
      </c>
      <c r="O18">
        <v>49756.25</v>
      </c>
      <c r="P18">
        <v>50000</v>
      </c>
      <c r="Q18">
        <v>213.99341200000001</v>
      </c>
      <c r="R18">
        <v>52764.006600000001</v>
      </c>
      <c r="S18" s="3">
        <f t="shared" si="0"/>
        <v>100.00000152380952</v>
      </c>
      <c r="T18" s="3">
        <f t="shared" si="0"/>
        <v>33.268396266666663</v>
      </c>
    </row>
    <row r="19" spans="1:20" x14ac:dyDescent="0.3">
      <c r="A19">
        <v>16</v>
      </c>
      <c r="B19" t="s">
        <v>9</v>
      </c>
      <c r="D19">
        <v>3.4</v>
      </c>
      <c r="E19">
        <v>166.147695</v>
      </c>
      <c r="F19">
        <v>125.11940300000001</v>
      </c>
      <c r="G19">
        <v>131.24999700000001</v>
      </c>
      <c r="H19">
        <v>43.9539373</v>
      </c>
      <c r="I19">
        <v>91.441218699999993</v>
      </c>
      <c r="J19" s="1">
        <v>3.0708430800000001E-19</v>
      </c>
      <c r="K19">
        <v>68.560953299999994</v>
      </c>
      <c r="L19">
        <v>52642.793899999997</v>
      </c>
      <c r="M19">
        <v>131.25</v>
      </c>
      <c r="N19">
        <v>112.5</v>
      </c>
      <c r="O19">
        <v>49756.25</v>
      </c>
      <c r="P19">
        <v>50000</v>
      </c>
      <c r="Q19">
        <v>266.64515299999999</v>
      </c>
      <c r="R19">
        <v>52711.354800000001</v>
      </c>
      <c r="S19" s="3">
        <f t="shared" si="0"/>
        <v>99.999997714285712</v>
      </c>
      <c r="T19" s="3">
        <f t="shared" si="0"/>
        <v>39.070166488888887</v>
      </c>
    </row>
    <row r="20" spans="1:20" x14ac:dyDescent="0.3">
      <c r="A20">
        <v>17</v>
      </c>
      <c r="B20" t="s">
        <v>9</v>
      </c>
      <c r="D20">
        <v>3.5</v>
      </c>
      <c r="E20">
        <v>166.182062</v>
      </c>
      <c r="F20">
        <v>141.22280900000001</v>
      </c>
      <c r="G20">
        <v>131.24998199999999</v>
      </c>
      <c r="H20">
        <v>50.578200699999996</v>
      </c>
      <c r="I20">
        <v>192.23067</v>
      </c>
      <c r="J20" s="1">
        <v>1.36290735E-18</v>
      </c>
      <c r="K20">
        <v>61.936689299999998</v>
      </c>
      <c r="L20">
        <v>52542.004399999998</v>
      </c>
      <c r="M20">
        <v>131.25</v>
      </c>
      <c r="N20">
        <v>112.5</v>
      </c>
      <c r="O20">
        <v>49756.25</v>
      </c>
      <c r="P20">
        <v>50000</v>
      </c>
      <c r="Q20">
        <v>374.058852</v>
      </c>
      <c r="R20">
        <v>52603.941099999996</v>
      </c>
      <c r="S20" s="3">
        <f t="shared" si="0"/>
        <v>99.999986285714272</v>
      </c>
      <c r="T20" s="3">
        <f t="shared" si="0"/>
        <v>44.958400622222221</v>
      </c>
    </row>
    <row r="21" spans="1:20" x14ac:dyDescent="0.3">
      <c r="A21">
        <v>18</v>
      </c>
      <c r="B21" t="s">
        <v>9</v>
      </c>
      <c r="D21">
        <v>3.6</v>
      </c>
      <c r="E21">
        <v>166.216239</v>
      </c>
      <c r="F21">
        <v>149.724638</v>
      </c>
      <c r="G21">
        <v>131.25</v>
      </c>
      <c r="H21">
        <v>57.191667799999998</v>
      </c>
      <c r="I21">
        <v>340.07517200000001</v>
      </c>
      <c r="J21" s="1">
        <v>3.3461557000000001E-19</v>
      </c>
      <c r="K21">
        <v>55.323222100000002</v>
      </c>
      <c r="L21">
        <v>52394.159899999999</v>
      </c>
      <c r="M21">
        <v>131.25</v>
      </c>
      <c r="N21">
        <v>112.5</v>
      </c>
      <c r="O21">
        <v>49756.25</v>
      </c>
      <c r="P21">
        <v>50000</v>
      </c>
      <c r="Q21">
        <v>528.51684</v>
      </c>
      <c r="R21">
        <v>52449.483200000002</v>
      </c>
      <c r="S21" s="3">
        <f t="shared" ref="S21:T46" si="1">100*G21/M21</f>
        <v>100</v>
      </c>
      <c r="T21" s="3">
        <f t="shared" si="1"/>
        <v>50.837038044444441</v>
      </c>
    </row>
    <row r="22" spans="1:20" x14ac:dyDescent="0.3">
      <c r="A22">
        <v>19</v>
      </c>
      <c r="B22" t="s">
        <v>9</v>
      </c>
      <c r="D22">
        <v>3.7</v>
      </c>
      <c r="E22">
        <v>166.24937199999999</v>
      </c>
      <c r="F22">
        <v>153.98410100000001</v>
      </c>
      <c r="G22">
        <v>131.25</v>
      </c>
      <c r="H22">
        <v>63.592246199999998</v>
      </c>
      <c r="I22">
        <v>508.66304600000001</v>
      </c>
      <c r="J22" s="1">
        <v>4.9589112099999999E-20</v>
      </c>
      <c r="K22">
        <v>48.922643800000003</v>
      </c>
      <c r="L22">
        <v>52225.572099999998</v>
      </c>
      <c r="M22">
        <v>131.25</v>
      </c>
      <c r="N22">
        <v>112.5</v>
      </c>
      <c r="O22">
        <v>49756.25</v>
      </c>
      <c r="P22">
        <v>50000</v>
      </c>
      <c r="Q22">
        <v>703.50529200000005</v>
      </c>
      <c r="R22">
        <v>52274.494700000003</v>
      </c>
      <c r="S22" s="3">
        <f t="shared" si="1"/>
        <v>100</v>
      </c>
      <c r="T22" s="3">
        <f t="shared" si="1"/>
        <v>56.526441066666663</v>
      </c>
    </row>
    <row r="23" spans="1:20" x14ac:dyDescent="0.3">
      <c r="A23">
        <v>20</v>
      </c>
      <c r="B23" t="s">
        <v>9</v>
      </c>
      <c r="D23">
        <v>3.8</v>
      </c>
      <c r="E23">
        <v>166.28089800000001</v>
      </c>
      <c r="F23">
        <v>156.39144400000001</v>
      </c>
      <c r="G23">
        <v>131.25</v>
      </c>
      <c r="H23">
        <v>69.6591643</v>
      </c>
      <c r="I23">
        <v>685.81100300000003</v>
      </c>
      <c r="J23" s="1">
        <v>2.8527263299999999E-20</v>
      </c>
      <c r="K23">
        <v>42.855725700000001</v>
      </c>
      <c r="L23">
        <v>52048.424099999997</v>
      </c>
      <c r="M23">
        <v>131.25</v>
      </c>
      <c r="N23">
        <v>112.5</v>
      </c>
      <c r="O23">
        <v>49756.25</v>
      </c>
      <c r="P23">
        <v>50000</v>
      </c>
      <c r="Q23">
        <v>886.72016699999995</v>
      </c>
      <c r="R23">
        <v>52091.279799999997</v>
      </c>
      <c r="S23" s="3">
        <f t="shared" si="1"/>
        <v>100</v>
      </c>
      <c r="T23" s="3">
        <f t="shared" si="1"/>
        <v>61.919257155555556</v>
      </c>
    </row>
    <row r="24" spans="1:20" x14ac:dyDescent="0.3">
      <c r="A24">
        <v>21</v>
      </c>
      <c r="B24" t="s">
        <v>9</v>
      </c>
      <c r="D24">
        <v>3.9</v>
      </c>
      <c r="E24">
        <v>166.31044399999999</v>
      </c>
      <c r="F24">
        <v>157.91577899999999</v>
      </c>
      <c r="G24">
        <v>131.25</v>
      </c>
      <c r="H24">
        <v>75.319812900000002</v>
      </c>
      <c r="I24">
        <v>867.22726</v>
      </c>
      <c r="J24" s="1">
        <v>2.2487826700000001E-20</v>
      </c>
      <c r="K24">
        <v>37.195077099999999</v>
      </c>
      <c r="L24">
        <v>51867.007799999999</v>
      </c>
      <c r="M24">
        <v>131.25</v>
      </c>
      <c r="N24">
        <v>112.5</v>
      </c>
      <c r="O24">
        <v>49756.25</v>
      </c>
      <c r="P24">
        <v>50000</v>
      </c>
      <c r="Q24">
        <v>1073.7970700000001</v>
      </c>
      <c r="R24">
        <v>51904.202899999997</v>
      </c>
      <c r="S24" s="3">
        <f t="shared" si="1"/>
        <v>100</v>
      </c>
      <c r="T24" s="3">
        <f t="shared" si="1"/>
        <v>66.950944800000002</v>
      </c>
    </row>
    <row r="25" spans="1:20" x14ac:dyDescent="0.3">
      <c r="A25">
        <v>22</v>
      </c>
      <c r="B25" t="s">
        <v>9</v>
      </c>
      <c r="D25">
        <v>4</v>
      </c>
      <c r="E25">
        <v>166.33773500000001</v>
      </c>
      <c r="F25">
        <v>158.96643499999999</v>
      </c>
      <c r="G25">
        <v>131.24999700000001</v>
      </c>
      <c r="H25">
        <v>80.524567500000003</v>
      </c>
      <c r="I25">
        <v>1051.2231300000001</v>
      </c>
      <c r="J25" s="1">
        <v>2.1510737800000001E-20</v>
      </c>
      <c r="K25">
        <v>31.990322800000001</v>
      </c>
      <c r="L25">
        <v>51683.012000000002</v>
      </c>
      <c r="M25">
        <v>131.25</v>
      </c>
      <c r="N25">
        <v>112.5</v>
      </c>
      <c r="O25">
        <v>49756.25</v>
      </c>
      <c r="P25">
        <v>50000</v>
      </c>
      <c r="Q25">
        <v>1262.9976999999999</v>
      </c>
      <c r="R25">
        <v>51715.0023</v>
      </c>
      <c r="S25" s="3">
        <f t="shared" si="1"/>
        <v>99.999997714285712</v>
      </c>
      <c r="T25" s="3">
        <f t="shared" si="1"/>
        <v>71.577393333333333</v>
      </c>
    </row>
    <row r="26" spans="1:20" x14ac:dyDescent="0.3">
      <c r="A26">
        <v>23</v>
      </c>
      <c r="B26" t="s">
        <v>9</v>
      </c>
      <c r="D26">
        <v>4.0999999999999996</v>
      </c>
      <c r="E26">
        <v>166.362585</v>
      </c>
      <c r="F26">
        <v>159.73745500000001</v>
      </c>
      <c r="G26">
        <v>131.249999</v>
      </c>
      <c r="H26">
        <v>85.242014699999999</v>
      </c>
      <c r="I26">
        <v>1237.0250100000001</v>
      </c>
      <c r="J26" s="1">
        <v>1.0471132199999999E-20</v>
      </c>
      <c r="K26">
        <v>27.2728754</v>
      </c>
      <c r="L26">
        <v>51497.210099999997</v>
      </c>
      <c r="M26">
        <v>131.25</v>
      </c>
      <c r="N26">
        <v>112.5</v>
      </c>
      <c r="O26">
        <v>49756.25</v>
      </c>
      <c r="P26">
        <v>50000</v>
      </c>
      <c r="Q26">
        <v>1453.51702</v>
      </c>
      <c r="R26">
        <v>51524.483</v>
      </c>
      <c r="S26" s="3">
        <f t="shared" si="1"/>
        <v>99.999999238095242</v>
      </c>
      <c r="T26" s="3">
        <f t="shared" si="1"/>
        <v>75.770679733333338</v>
      </c>
    </row>
    <row r="27" spans="1:20" x14ac:dyDescent="0.3">
      <c r="A27">
        <v>24</v>
      </c>
      <c r="B27" t="s">
        <v>9</v>
      </c>
      <c r="D27">
        <v>4.2</v>
      </c>
      <c r="E27">
        <v>166.38488699999999</v>
      </c>
      <c r="F27">
        <v>160.33070900000001</v>
      </c>
      <c r="G27">
        <v>131.249999</v>
      </c>
      <c r="H27">
        <v>89.457075200000006</v>
      </c>
      <c r="I27">
        <v>1424.23326</v>
      </c>
      <c r="J27" s="1">
        <v>7.3205801000000007E-21</v>
      </c>
      <c r="K27">
        <v>23.057814799999999</v>
      </c>
      <c r="L27">
        <v>51310.001900000003</v>
      </c>
      <c r="M27">
        <v>131.25</v>
      </c>
      <c r="N27">
        <v>112.5</v>
      </c>
      <c r="O27">
        <v>49756.25</v>
      </c>
      <c r="P27">
        <v>50000</v>
      </c>
      <c r="Q27">
        <v>1644.9403299999999</v>
      </c>
      <c r="R27">
        <v>51333.059699999998</v>
      </c>
      <c r="S27" s="3">
        <f t="shared" si="1"/>
        <v>99.999999238095242</v>
      </c>
      <c r="T27" s="3">
        <f t="shared" si="1"/>
        <v>79.517400177777773</v>
      </c>
    </row>
    <row r="28" spans="1:20" x14ac:dyDescent="0.3">
      <c r="A28">
        <v>25</v>
      </c>
      <c r="B28" t="s">
        <v>9</v>
      </c>
      <c r="D28">
        <v>4.3</v>
      </c>
      <c r="E28">
        <v>166.40462600000001</v>
      </c>
      <c r="F28">
        <v>160.80408499999999</v>
      </c>
      <c r="G28">
        <v>131.25</v>
      </c>
      <c r="H28">
        <v>93.171214500000005</v>
      </c>
      <c r="I28">
        <v>1612.6086600000001</v>
      </c>
      <c r="J28" s="1">
        <v>4.5488357999999997E-21</v>
      </c>
      <c r="K28">
        <v>19.3436755</v>
      </c>
      <c r="L28">
        <v>51121.626400000001</v>
      </c>
      <c r="M28">
        <v>131.25</v>
      </c>
      <c r="N28">
        <v>112.5</v>
      </c>
      <c r="O28">
        <v>49756.25</v>
      </c>
      <c r="P28">
        <v>50000</v>
      </c>
      <c r="Q28">
        <v>1837.02988</v>
      </c>
      <c r="R28">
        <v>51140.970099999999</v>
      </c>
      <c r="S28" s="3">
        <f t="shared" si="1"/>
        <v>100</v>
      </c>
      <c r="T28" s="3">
        <f t="shared" si="1"/>
        <v>82.818857333333341</v>
      </c>
    </row>
    <row r="29" spans="1:20" x14ac:dyDescent="0.3">
      <c r="A29">
        <v>26</v>
      </c>
      <c r="B29" t="s">
        <v>9</v>
      </c>
      <c r="D29">
        <v>4.4000000000000004</v>
      </c>
      <c r="E29">
        <v>166.421864</v>
      </c>
      <c r="F29">
        <v>161.192612</v>
      </c>
      <c r="G29">
        <v>131.25</v>
      </c>
      <c r="H29">
        <v>96.400835599999994</v>
      </c>
      <c r="I29">
        <v>1801.9873299999999</v>
      </c>
      <c r="J29" s="1">
        <v>4.8210821599999998E-24</v>
      </c>
      <c r="K29">
        <v>16.114054299999999</v>
      </c>
      <c r="L29">
        <v>50932.247799999997</v>
      </c>
      <c r="M29">
        <v>131.25</v>
      </c>
      <c r="N29">
        <v>112.5</v>
      </c>
      <c r="O29">
        <v>49756.25</v>
      </c>
      <c r="P29">
        <v>50000</v>
      </c>
      <c r="Q29">
        <v>2029.63816</v>
      </c>
      <c r="R29">
        <v>50948.361799999999</v>
      </c>
      <c r="S29" s="3">
        <f t="shared" si="1"/>
        <v>100</v>
      </c>
      <c r="T29" s="3">
        <f t="shared" si="1"/>
        <v>85.689631644444432</v>
      </c>
    </row>
    <row r="30" spans="1:20" x14ac:dyDescent="0.3">
      <c r="A30">
        <v>27</v>
      </c>
      <c r="B30" t="s">
        <v>9</v>
      </c>
      <c r="D30">
        <v>4.5</v>
      </c>
      <c r="E30">
        <v>166.43673200000001</v>
      </c>
      <c r="F30">
        <v>161.51859400000001</v>
      </c>
      <c r="G30">
        <v>131.25</v>
      </c>
      <c r="H30">
        <v>99.174674100000004</v>
      </c>
      <c r="I30">
        <v>1992.24189</v>
      </c>
      <c r="J30" s="1">
        <v>1.0449737799999999E-21</v>
      </c>
      <c r="K30">
        <v>13.3402159</v>
      </c>
      <c r="L30">
        <v>50741.993199999997</v>
      </c>
      <c r="M30">
        <v>131.25</v>
      </c>
      <c r="N30">
        <v>112.5</v>
      </c>
      <c r="O30">
        <v>49756.25</v>
      </c>
      <c r="P30">
        <v>50000</v>
      </c>
      <c r="Q30">
        <v>2222.6665600000001</v>
      </c>
      <c r="R30">
        <v>50755.333400000003</v>
      </c>
      <c r="S30" s="3">
        <f t="shared" si="1"/>
        <v>100</v>
      </c>
      <c r="T30" s="3">
        <f t="shared" si="1"/>
        <v>88.155265866666682</v>
      </c>
    </row>
    <row r="31" spans="1:20" x14ac:dyDescent="0.3">
      <c r="A31">
        <v>28</v>
      </c>
      <c r="B31" t="s">
        <v>9</v>
      </c>
      <c r="D31">
        <v>4.5999999999999996</v>
      </c>
      <c r="E31">
        <v>166.449411</v>
      </c>
      <c r="F31">
        <v>161.796854</v>
      </c>
      <c r="G31">
        <v>131.25</v>
      </c>
      <c r="H31">
        <v>101.530444</v>
      </c>
      <c r="I31">
        <v>2183.2640200000001</v>
      </c>
      <c r="J31" s="1">
        <v>1.7321686999999998E-21</v>
      </c>
      <c r="K31">
        <v>10.984446399999999</v>
      </c>
      <c r="L31">
        <v>50550.971100000002</v>
      </c>
      <c r="M31">
        <v>131.25</v>
      </c>
      <c r="N31">
        <v>112.5</v>
      </c>
      <c r="O31">
        <v>49756.25</v>
      </c>
      <c r="P31">
        <v>50000</v>
      </c>
      <c r="Q31">
        <v>2416.0444699999998</v>
      </c>
      <c r="R31">
        <v>50561.955499999996</v>
      </c>
      <c r="S31" s="3">
        <f t="shared" si="1"/>
        <v>100</v>
      </c>
      <c r="T31" s="3">
        <f t="shared" si="1"/>
        <v>90.249283555555564</v>
      </c>
    </row>
    <row r="32" spans="1:20" x14ac:dyDescent="0.3">
      <c r="A32">
        <v>29</v>
      </c>
      <c r="B32" t="s">
        <v>9</v>
      </c>
      <c r="D32">
        <v>4.7</v>
      </c>
      <c r="E32">
        <v>166.460116</v>
      </c>
      <c r="F32">
        <v>162.03762499999999</v>
      </c>
      <c r="G32">
        <v>131.25</v>
      </c>
      <c r="H32">
        <v>103.511273</v>
      </c>
      <c r="I32">
        <v>2374.9569900000001</v>
      </c>
      <c r="J32" s="1">
        <v>4.9270199799999998E-20</v>
      </c>
      <c r="K32">
        <v>9.0036165599999993</v>
      </c>
      <c r="L32">
        <v>50359.278100000003</v>
      </c>
      <c r="M32">
        <v>131.25</v>
      </c>
      <c r="N32">
        <v>112.5</v>
      </c>
      <c r="O32">
        <v>49756.25</v>
      </c>
      <c r="P32">
        <v>50000</v>
      </c>
      <c r="Q32">
        <v>2609.7182699999998</v>
      </c>
      <c r="R32">
        <v>50368.2817</v>
      </c>
      <c r="S32" s="3">
        <f t="shared" si="1"/>
        <v>100</v>
      </c>
      <c r="T32" s="3">
        <f t="shared" si="1"/>
        <v>92.01002044444445</v>
      </c>
    </row>
    <row r="33" spans="1:20" x14ac:dyDescent="0.3">
      <c r="A33">
        <v>30</v>
      </c>
      <c r="B33" t="s">
        <v>9</v>
      </c>
      <c r="D33">
        <v>4.8</v>
      </c>
      <c r="E33">
        <v>166.469076</v>
      </c>
      <c r="F33">
        <v>162.24821900000001</v>
      </c>
      <c r="G33">
        <v>131.25</v>
      </c>
      <c r="H33">
        <v>105.162425</v>
      </c>
      <c r="I33">
        <v>2567.2329300000001</v>
      </c>
      <c r="J33" s="1">
        <v>4.93211835E-22</v>
      </c>
      <c r="K33">
        <v>7.3524653200000003</v>
      </c>
      <c r="L33">
        <v>50167.002200000003</v>
      </c>
      <c r="M33">
        <v>131.25</v>
      </c>
      <c r="N33">
        <v>112.5</v>
      </c>
      <c r="O33">
        <v>49756.25</v>
      </c>
      <c r="P33">
        <v>50000</v>
      </c>
      <c r="Q33">
        <v>2803.64536</v>
      </c>
      <c r="R33">
        <v>50174.354599999999</v>
      </c>
      <c r="S33" s="3">
        <f t="shared" si="1"/>
        <v>100</v>
      </c>
      <c r="T33" s="3">
        <f t="shared" si="1"/>
        <v>93.47771111111112</v>
      </c>
    </row>
    <row r="34" spans="1:20" x14ac:dyDescent="0.3">
      <c r="A34">
        <v>31</v>
      </c>
      <c r="B34" t="s">
        <v>9</v>
      </c>
      <c r="D34">
        <v>4.9000000000000004</v>
      </c>
      <c r="E34">
        <v>166.476518</v>
      </c>
      <c r="F34">
        <v>162.43402900000001</v>
      </c>
      <c r="G34">
        <v>131.25</v>
      </c>
      <c r="H34">
        <v>106.528605</v>
      </c>
      <c r="I34">
        <v>2760.0121100000001</v>
      </c>
      <c r="J34" s="1">
        <v>2.3450614499999998E-21</v>
      </c>
      <c r="K34">
        <v>5.9862847300000004</v>
      </c>
      <c r="L34">
        <v>49974.222999999998</v>
      </c>
      <c r="M34">
        <v>131.25</v>
      </c>
      <c r="N34">
        <v>112.5</v>
      </c>
      <c r="O34">
        <v>49756.25</v>
      </c>
      <c r="P34">
        <v>50000</v>
      </c>
      <c r="Q34">
        <v>2997.7907100000002</v>
      </c>
      <c r="R34">
        <v>49980.209300000002</v>
      </c>
      <c r="S34" s="3">
        <f t="shared" si="1"/>
        <v>100</v>
      </c>
      <c r="T34" s="3">
        <f t="shared" si="1"/>
        <v>94.692093333333332</v>
      </c>
    </row>
    <row r="35" spans="1:20" x14ac:dyDescent="0.3">
      <c r="A35">
        <v>32</v>
      </c>
      <c r="B35" t="s">
        <v>9</v>
      </c>
      <c r="D35">
        <v>5</v>
      </c>
      <c r="E35">
        <v>166.482662</v>
      </c>
      <c r="F35">
        <v>162.59914599999999</v>
      </c>
      <c r="G35">
        <v>131.25</v>
      </c>
      <c r="H35">
        <v>107.65201999999999</v>
      </c>
      <c r="I35">
        <v>2953.2229299999999</v>
      </c>
      <c r="J35" s="1">
        <v>2.4706904500000001E-25</v>
      </c>
      <c r="K35">
        <v>4.8628699900000001</v>
      </c>
      <c r="L35">
        <v>49781.012199999997</v>
      </c>
      <c r="M35">
        <v>131.25</v>
      </c>
      <c r="N35">
        <v>112.5</v>
      </c>
      <c r="O35">
        <v>49756.25</v>
      </c>
      <c r="P35">
        <v>50000</v>
      </c>
      <c r="Q35">
        <v>3192.1249499999999</v>
      </c>
      <c r="R35">
        <v>49785.875099999997</v>
      </c>
      <c r="S35" s="3">
        <f t="shared" si="1"/>
        <v>100</v>
      </c>
      <c r="T35" s="3">
        <f t="shared" si="1"/>
        <v>95.690684444444443</v>
      </c>
    </row>
    <row r="36" spans="1:20" x14ac:dyDescent="0.3">
      <c r="A36">
        <v>33</v>
      </c>
      <c r="B36" t="s">
        <v>9</v>
      </c>
      <c r="D36">
        <v>5.0999999999999996</v>
      </c>
      <c r="E36">
        <v>166.487709</v>
      </c>
      <c r="F36">
        <v>162.746759</v>
      </c>
      <c r="G36">
        <v>131.25</v>
      </c>
      <c r="H36">
        <v>108.571138</v>
      </c>
      <c r="I36">
        <v>3146.8019399999998</v>
      </c>
      <c r="J36" s="1">
        <v>1.2203710199999999E-20</v>
      </c>
      <c r="K36">
        <v>3.9437520400000001</v>
      </c>
      <c r="L36">
        <v>49587.433199999999</v>
      </c>
      <c r="M36">
        <v>131.25</v>
      </c>
      <c r="N36">
        <v>112.5</v>
      </c>
      <c r="O36">
        <v>49756.25</v>
      </c>
      <c r="P36">
        <v>50000</v>
      </c>
      <c r="Q36">
        <v>3386.6230799999998</v>
      </c>
      <c r="R36">
        <v>49591.376900000003</v>
      </c>
      <c r="S36" s="3">
        <f t="shared" si="1"/>
        <v>100</v>
      </c>
      <c r="T36" s="3">
        <f t="shared" si="1"/>
        <v>96.507678222222225</v>
      </c>
    </row>
    <row r="37" spans="1:20" x14ac:dyDescent="0.3">
      <c r="A37">
        <v>34</v>
      </c>
      <c r="B37" t="s">
        <v>9</v>
      </c>
      <c r="D37">
        <v>5.2</v>
      </c>
      <c r="E37">
        <v>166.491837</v>
      </c>
      <c r="F37">
        <v>162.87940399999999</v>
      </c>
      <c r="G37">
        <v>131.25</v>
      </c>
      <c r="H37">
        <v>109.320069</v>
      </c>
      <c r="I37">
        <v>3340.6936700000001</v>
      </c>
      <c r="J37" s="1">
        <v>3.8540956400000002E-25</v>
      </c>
      <c r="K37">
        <v>3.1948211500000001</v>
      </c>
      <c r="L37">
        <v>49393.541400000002</v>
      </c>
      <c r="M37">
        <v>131.25</v>
      </c>
      <c r="N37">
        <v>112.5</v>
      </c>
      <c r="O37">
        <v>49756.25</v>
      </c>
      <c r="P37">
        <v>50000</v>
      </c>
      <c r="Q37">
        <v>3581.2637300000001</v>
      </c>
      <c r="R37">
        <v>49396.736299999997</v>
      </c>
      <c r="S37" s="3">
        <f t="shared" si="1"/>
        <v>100</v>
      </c>
      <c r="T37" s="3">
        <f t="shared" si="1"/>
        <v>97.173394666666667</v>
      </c>
    </row>
    <row r="38" spans="1:20" x14ac:dyDescent="0.3">
      <c r="A38">
        <v>35</v>
      </c>
      <c r="B38" t="s">
        <v>9</v>
      </c>
      <c r="D38">
        <v>5.3</v>
      </c>
      <c r="E38">
        <v>166.495204</v>
      </c>
      <c r="F38">
        <v>162.99914000000001</v>
      </c>
      <c r="G38">
        <v>131.25</v>
      </c>
      <c r="H38">
        <v>109.92840099999999</v>
      </c>
      <c r="I38">
        <v>3534.8501700000002</v>
      </c>
      <c r="J38" s="1">
        <v>4.0867350899999998E-22</v>
      </c>
      <c r="K38">
        <v>2.5864885900000001</v>
      </c>
      <c r="L38">
        <v>49199.384899999997</v>
      </c>
      <c r="M38">
        <v>131.25</v>
      </c>
      <c r="N38">
        <v>112.5</v>
      </c>
      <c r="O38">
        <v>49756.25</v>
      </c>
      <c r="P38">
        <v>50000</v>
      </c>
      <c r="Q38">
        <v>3776.0285800000001</v>
      </c>
      <c r="R38">
        <v>49201.971400000002</v>
      </c>
      <c r="S38" s="3">
        <f t="shared" si="1"/>
        <v>100</v>
      </c>
      <c r="T38" s="3">
        <f t="shared" si="1"/>
        <v>97.714134222222214</v>
      </c>
    </row>
    <row r="39" spans="1:20" x14ac:dyDescent="0.3">
      <c r="A39">
        <v>36</v>
      </c>
      <c r="B39" t="s">
        <v>9</v>
      </c>
      <c r="D39">
        <v>5.4</v>
      </c>
      <c r="E39">
        <v>166.49794199999999</v>
      </c>
      <c r="F39">
        <v>163.107662</v>
      </c>
      <c r="G39">
        <v>131.25</v>
      </c>
      <c r="H39">
        <v>110.421359</v>
      </c>
      <c r="I39">
        <v>3729.2304899999999</v>
      </c>
      <c r="J39" s="1">
        <v>7.8648877799999999E-22</v>
      </c>
      <c r="K39">
        <v>2.0935314699999998</v>
      </c>
      <c r="L39">
        <v>49005.0046</v>
      </c>
      <c r="M39">
        <v>131.25</v>
      </c>
      <c r="N39">
        <v>112.5</v>
      </c>
      <c r="O39">
        <v>49756.25</v>
      </c>
      <c r="P39">
        <v>50000</v>
      </c>
      <c r="Q39">
        <v>3970.9018500000002</v>
      </c>
      <c r="R39">
        <v>49007.0982</v>
      </c>
      <c r="S39" s="3">
        <f t="shared" si="1"/>
        <v>100</v>
      </c>
      <c r="T39" s="3">
        <f t="shared" si="1"/>
        <v>98.152319111111112</v>
      </c>
    </row>
    <row r="40" spans="1:20" x14ac:dyDescent="0.3">
      <c r="A40">
        <v>37</v>
      </c>
      <c r="B40" t="s">
        <v>9</v>
      </c>
      <c r="D40">
        <v>5.5</v>
      </c>
      <c r="E40">
        <v>166.50016600000001</v>
      </c>
      <c r="F40">
        <v>163.20638400000001</v>
      </c>
      <c r="G40">
        <v>131.25</v>
      </c>
      <c r="H40">
        <v>110.820143</v>
      </c>
      <c r="I40">
        <v>3923.79988</v>
      </c>
      <c r="J40" s="1">
        <v>7.42857742E-22</v>
      </c>
      <c r="K40">
        <v>1.6947466200000001</v>
      </c>
      <c r="L40">
        <v>48810.4352</v>
      </c>
      <c r="M40">
        <v>131.25</v>
      </c>
      <c r="N40">
        <v>112.5</v>
      </c>
      <c r="O40">
        <v>49756.25</v>
      </c>
      <c r="P40">
        <v>50000</v>
      </c>
      <c r="Q40">
        <v>4165.8700200000003</v>
      </c>
      <c r="R40">
        <v>48812.13</v>
      </c>
      <c r="S40" s="3">
        <f t="shared" si="1"/>
        <v>100</v>
      </c>
      <c r="T40" s="3">
        <f t="shared" si="1"/>
        <v>98.506793777777787</v>
      </c>
    </row>
    <row r="41" spans="1:20" x14ac:dyDescent="0.3">
      <c r="A41">
        <v>38</v>
      </c>
      <c r="B41" t="s">
        <v>9</v>
      </c>
      <c r="D41">
        <v>5.6</v>
      </c>
      <c r="E41">
        <v>166.50197</v>
      </c>
      <c r="F41">
        <v>163.29649900000001</v>
      </c>
      <c r="G41">
        <v>131.25</v>
      </c>
      <c r="H41">
        <v>111.14238400000001</v>
      </c>
      <c r="I41">
        <v>4118.5290999999997</v>
      </c>
      <c r="J41" s="1">
        <v>7.8332736499999996E-25</v>
      </c>
      <c r="K41">
        <v>1.3725062400000001</v>
      </c>
      <c r="L41">
        <v>48615.705999999998</v>
      </c>
      <c r="M41">
        <v>131.25</v>
      </c>
      <c r="N41">
        <v>112.5</v>
      </c>
      <c r="O41">
        <v>49756.25</v>
      </c>
      <c r="P41">
        <v>50000</v>
      </c>
      <c r="Q41">
        <v>4360.92148</v>
      </c>
      <c r="R41">
        <v>48617.078500000003</v>
      </c>
      <c r="S41" s="3">
        <f t="shared" si="1"/>
        <v>100</v>
      </c>
      <c r="T41" s="3">
        <f t="shared" si="1"/>
        <v>98.793230222222221</v>
      </c>
    </row>
    <row r="42" spans="1:20" x14ac:dyDescent="0.3">
      <c r="A42">
        <v>39</v>
      </c>
      <c r="B42" t="s">
        <v>9</v>
      </c>
      <c r="D42">
        <v>5.7</v>
      </c>
      <c r="E42">
        <v>166.503432</v>
      </c>
      <c r="F42">
        <v>163.379019</v>
      </c>
      <c r="G42">
        <v>131.25</v>
      </c>
      <c r="H42">
        <v>111.402607</v>
      </c>
      <c r="I42">
        <v>4313.3936299999996</v>
      </c>
      <c r="J42" s="1">
        <v>2.9809993099999999E-21</v>
      </c>
      <c r="K42">
        <v>1.11228338</v>
      </c>
      <c r="L42">
        <v>48420.841500000002</v>
      </c>
      <c r="M42">
        <v>131.25</v>
      </c>
      <c r="N42">
        <v>112.5</v>
      </c>
      <c r="O42">
        <v>49756.25</v>
      </c>
      <c r="P42">
        <v>50000</v>
      </c>
      <c r="Q42">
        <v>4556.0462399999997</v>
      </c>
      <c r="R42">
        <v>48421.953800000003</v>
      </c>
      <c r="S42" s="3">
        <f t="shared" si="1"/>
        <v>100</v>
      </c>
      <c r="T42" s="3">
        <f t="shared" si="1"/>
        <v>99.024539555555563</v>
      </c>
    </row>
    <row r="43" spans="1:20" x14ac:dyDescent="0.3">
      <c r="A43">
        <v>40</v>
      </c>
      <c r="B43" t="s">
        <v>9</v>
      </c>
      <c r="D43">
        <v>5.8</v>
      </c>
      <c r="E43">
        <v>166.504617</v>
      </c>
      <c r="F43">
        <v>163.45481100000001</v>
      </c>
      <c r="G43">
        <v>131.25</v>
      </c>
      <c r="H43">
        <v>111.612701</v>
      </c>
      <c r="I43">
        <v>4508.3729999999996</v>
      </c>
      <c r="J43" s="1">
        <v>2.26764692E-21</v>
      </c>
      <c r="K43">
        <v>0.90218909800000002</v>
      </c>
      <c r="L43">
        <v>48225.862099999998</v>
      </c>
      <c r="M43">
        <v>131.25</v>
      </c>
      <c r="N43">
        <v>112.5</v>
      </c>
      <c r="O43">
        <v>49756.25</v>
      </c>
      <c r="P43">
        <v>50000</v>
      </c>
      <c r="Q43">
        <v>4751.2357099999999</v>
      </c>
      <c r="R43">
        <v>48226.764300000003</v>
      </c>
      <c r="S43" s="3">
        <f t="shared" si="1"/>
        <v>100</v>
      </c>
      <c r="T43" s="3">
        <f t="shared" si="1"/>
        <v>99.211289777777779</v>
      </c>
    </row>
    <row r="44" spans="1:20" x14ac:dyDescent="0.3">
      <c r="A44">
        <v>41</v>
      </c>
      <c r="B44" t="s">
        <v>9</v>
      </c>
      <c r="D44">
        <v>5.9</v>
      </c>
      <c r="E44">
        <v>166.50557800000001</v>
      </c>
      <c r="F44">
        <v>163.524619</v>
      </c>
      <c r="G44">
        <v>131.25</v>
      </c>
      <c r="H44">
        <v>111.78234399999999</v>
      </c>
      <c r="I44">
        <v>4703.4501600000003</v>
      </c>
      <c r="J44" s="1">
        <v>7.7856656399999998E-25</v>
      </c>
      <c r="K44">
        <v>0.73254581299999999</v>
      </c>
      <c r="L44">
        <v>48030.785000000003</v>
      </c>
      <c r="M44">
        <v>131.25</v>
      </c>
      <c r="N44">
        <v>112.5</v>
      </c>
      <c r="O44">
        <v>49756.25</v>
      </c>
      <c r="P44">
        <v>50000</v>
      </c>
      <c r="Q44">
        <v>4946.4825000000001</v>
      </c>
      <c r="R44">
        <v>48031.517500000002</v>
      </c>
      <c r="S44" s="3">
        <f t="shared" si="1"/>
        <v>100</v>
      </c>
      <c r="T44" s="3">
        <f t="shared" si="1"/>
        <v>99.362083555555543</v>
      </c>
    </row>
    <row r="45" spans="1:20" x14ac:dyDescent="0.3">
      <c r="A45">
        <v>42</v>
      </c>
      <c r="B45" t="s">
        <v>9</v>
      </c>
      <c r="D45">
        <v>6</v>
      </c>
      <c r="E45">
        <v>166.50635700000001</v>
      </c>
      <c r="F45">
        <v>163.589088</v>
      </c>
      <c r="G45">
        <v>131.25</v>
      </c>
      <c r="H45">
        <v>111.919381</v>
      </c>
      <c r="I45">
        <v>4898.6108800000002</v>
      </c>
      <c r="J45" s="1">
        <v>1.9885975899999999E-22</v>
      </c>
      <c r="K45">
        <v>0.59550860800000005</v>
      </c>
      <c r="L45">
        <v>47835.624199999998</v>
      </c>
      <c r="M45">
        <v>131.25</v>
      </c>
      <c r="N45">
        <v>112.5</v>
      </c>
      <c r="O45">
        <v>49756.25</v>
      </c>
      <c r="P45">
        <v>50000</v>
      </c>
      <c r="Q45">
        <v>5141.7802700000002</v>
      </c>
      <c r="R45">
        <v>47836.219700000001</v>
      </c>
      <c r="S45" s="3">
        <f t="shared" si="1"/>
        <v>100</v>
      </c>
      <c r="T45" s="3">
        <f t="shared" si="1"/>
        <v>99.483894222222219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F2A5B-EF9A-41B9-A9A6-3610D8075D43}">
  <dimension ref="A3:T45"/>
  <sheetViews>
    <sheetView workbookViewId="0">
      <selection activeCell="E7" sqref="E7"/>
    </sheetView>
  </sheetViews>
  <sheetFormatPr defaultRowHeight="14.4" x14ac:dyDescent="0.3"/>
  <cols>
    <col min="1" max="1" width="9.6640625" bestFit="1" customWidth="1"/>
    <col min="2" max="2" width="6.44140625" bestFit="1" customWidth="1"/>
    <col min="3" max="3" width="11.33203125" bestFit="1" customWidth="1"/>
    <col min="4" max="12" width="11" bestFit="1" customWidth="1"/>
    <col min="13" max="13" width="11.33203125" customWidth="1"/>
    <col min="14" max="15" width="11" bestFit="1" customWidth="1"/>
    <col min="19" max="19" width="12" bestFit="1" customWidth="1"/>
  </cols>
  <sheetData>
    <row r="3" spans="1:20" ht="28.8" x14ac:dyDescent="0.3">
      <c r="A3" t="s">
        <v>0</v>
      </c>
      <c r="B3" t="s">
        <v>1</v>
      </c>
      <c r="C3" t="s">
        <v>2</v>
      </c>
      <c r="D3" s="2" t="s">
        <v>3</v>
      </c>
      <c r="E3" s="2" t="s">
        <v>4</v>
      </c>
      <c r="F3" s="2" t="s">
        <v>5</v>
      </c>
      <c r="G3" s="2" t="s">
        <v>10</v>
      </c>
      <c r="H3" s="2" t="s">
        <v>11</v>
      </c>
      <c r="I3" s="2" t="s">
        <v>15</v>
      </c>
      <c r="J3" s="2" t="s">
        <v>12</v>
      </c>
      <c r="K3" s="2" t="s">
        <v>13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6</v>
      </c>
      <c r="Q3" s="2" t="s">
        <v>7</v>
      </c>
      <c r="R3" s="2" t="s">
        <v>8</v>
      </c>
      <c r="S3" s="2" t="s">
        <v>14</v>
      </c>
      <c r="T3" s="2" t="s">
        <v>20</v>
      </c>
    </row>
    <row r="4" spans="1:20" x14ac:dyDescent="0.3">
      <c r="A4">
        <v>1</v>
      </c>
      <c r="B4" t="s">
        <v>62</v>
      </c>
      <c r="D4">
        <v>0.5</v>
      </c>
      <c r="E4">
        <v>134.12581900000001</v>
      </c>
      <c r="F4">
        <v>147.74961400000001</v>
      </c>
      <c r="G4" s="1">
        <v>7.5056997799999996E-6</v>
      </c>
      <c r="H4" s="1">
        <v>3.2890637300000002E-3</v>
      </c>
      <c r="I4" s="1">
        <v>7.0171907299999999E-4</v>
      </c>
      <c r="J4">
        <v>210.115173</v>
      </c>
      <c r="K4">
        <v>1187.13327</v>
      </c>
      <c r="L4">
        <v>52968.1872</v>
      </c>
      <c r="M4">
        <v>175</v>
      </c>
      <c r="N4">
        <v>75</v>
      </c>
      <c r="O4">
        <v>49750</v>
      </c>
      <c r="P4">
        <v>50000</v>
      </c>
      <c r="Q4">
        <v>3.9982884999999998E-3</v>
      </c>
      <c r="R4">
        <v>54365.435599999997</v>
      </c>
      <c r="S4" s="3">
        <f>100*G4/M4</f>
        <v>4.2889713028571425E-6</v>
      </c>
      <c r="T4" s="3">
        <f>100*H4/N4</f>
        <v>4.3854183066666672E-3</v>
      </c>
    </row>
    <row r="5" spans="1:20" x14ac:dyDescent="0.3">
      <c r="A5">
        <v>2</v>
      </c>
      <c r="B5" t="s">
        <v>9</v>
      </c>
      <c r="D5">
        <v>2</v>
      </c>
      <c r="E5">
        <v>155.61311799999999</v>
      </c>
      <c r="F5">
        <v>60.228039799999998</v>
      </c>
      <c r="G5">
        <v>72.169824399999996</v>
      </c>
      <c r="H5" s="1">
        <v>1.15181073E-3</v>
      </c>
      <c r="I5">
        <v>2.2192232199999999</v>
      </c>
      <c r="J5" s="1">
        <v>102.830175</v>
      </c>
      <c r="K5">
        <v>75.013738200000006</v>
      </c>
      <c r="L5">
        <v>52725.765899999999</v>
      </c>
      <c r="M5">
        <v>175</v>
      </c>
      <c r="N5">
        <v>75</v>
      </c>
      <c r="O5">
        <v>49750</v>
      </c>
      <c r="P5">
        <v>50000</v>
      </c>
      <c r="Q5">
        <v>74.3901994</v>
      </c>
      <c r="R5">
        <v>52903.609799999998</v>
      </c>
      <c r="S5" s="3">
        <f t="shared" ref="S5:T20" si="0">100*G5/M5</f>
        <v>41.239899657142857</v>
      </c>
      <c r="T5" s="3">
        <f t="shared" si="0"/>
        <v>1.5357476399999999E-3</v>
      </c>
    </row>
    <row r="6" spans="1:20" x14ac:dyDescent="0.3">
      <c r="A6">
        <v>3</v>
      </c>
      <c r="B6" t="s">
        <v>9</v>
      </c>
      <c r="D6">
        <v>2.1</v>
      </c>
      <c r="E6">
        <v>157.23414700000001</v>
      </c>
      <c r="F6">
        <v>60.275081700000001</v>
      </c>
      <c r="G6" s="1">
        <v>86.300761300000005</v>
      </c>
      <c r="H6" s="1">
        <v>1.4145207999999999E-3</v>
      </c>
      <c r="I6">
        <v>2.6603845000000002</v>
      </c>
      <c r="J6" s="1">
        <v>88.699239599999999</v>
      </c>
      <c r="K6">
        <v>75.013475499999998</v>
      </c>
      <c r="L6">
        <v>52725.324699999997</v>
      </c>
      <c r="M6">
        <v>175</v>
      </c>
      <c r="N6">
        <v>75</v>
      </c>
      <c r="O6">
        <v>49750</v>
      </c>
      <c r="P6">
        <v>50000</v>
      </c>
      <c r="Q6">
        <v>88.962560400000001</v>
      </c>
      <c r="R6">
        <v>52889.037400000001</v>
      </c>
      <c r="S6" s="3">
        <f t="shared" si="0"/>
        <v>49.314720742857148</v>
      </c>
      <c r="T6" s="3">
        <f t="shared" si="0"/>
        <v>1.8860277333333331E-3</v>
      </c>
    </row>
    <row r="7" spans="1:20" x14ac:dyDescent="0.3">
      <c r="A7">
        <v>4</v>
      </c>
      <c r="B7" t="s">
        <v>9</v>
      </c>
      <c r="D7">
        <v>2.2000000000000002</v>
      </c>
      <c r="E7">
        <v>158.851012</v>
      </c>
      <c r="F7">
        <v>60.322707700000002</v>
      </c>
      <c r="G7" s="1">
        <v>101.023293</v>
      </c>
      <c r="H7" s="1">
        <v>1.7074430999999999E-3</v>
      </c>
      <c r="I7" s="1">
        <v>3.1223589600000001</v>
      </c>
      <c r="J7" s="1">
        <v>73.976707500000003</v>
      </c>
      <c r="K7">
        <v>75.013182599999993</v>
      </c>
      <c r="L7">
        <v>52724.862800000003</v>
      </c>
      <c r="M7">
        <v>175</v>
      </c>
      <c r="N7">
        <v>75</v>
      </c>
      <c r="O7">
        <v>49750</v>
      </c>
      <c r="P7">
        <v>50000</v>
      </c>
      <c r="Q7" s="1">
        <v>104.14735899999999</v>
      </c>
      <c r="R7">
        <v>52873.852599999998</v>
      </c>
      <c r="S7" s="3">
        <f t="shared" si="0"/>
        <v>57.727595999999998</v>
      </c>
      <c r="T7" s="3">
        <f t="shared" si="0"/>
        <v>2.2765907999999996E-3</v>
      </c>
    </row>
    <row r="8" spans="1:20" x14ac:dyDescent="0.3">
      <c r="A8">
        <v>5</v>
      </c>
      <c r="B8" t="s">
        <v>9</v>
      </c>
      <c r="D8">
        <v>2.2999999999999998</v>
      </c>
      <c r="E8">
        <v>160.46472900000001</v>
      </c>
      <c r="F8">
        <v>60.373633599999998</v>
      </c>
      <c r="G8">
        <v>116.32434499999999</v>
      </c>
      <c r="H8" s="1">
        <v>2.03633778E-3</v>
      </c>
      <c r="I8">
        <v>3.6050478099999999</v>
      </c>
      <c r="J8" s="1">
        <v>58.675654899999998</v>
      </c>
      <c r="K8">
        <v>75.012853699999994</v>
      </c>
      <c r="L8">
        <v>52724.380100000002</v>
      </c>
      <c r="M8">
        <v>175</v>
      </c>
      <c r="N8">
        <v>75</v>
      </c>
      <c r="O8">
        <v>49750</v>
      </c>
      <c r="P8">
        <v>50000</v>
      </c>
      <c r="Q8">
        <v>119.93142899999999</v>
      </c>
      <c r="R8">
        <v>52858.068599999999</v>
      </c>
      <c r="S8" s="3">
        <f t="shared" si="0"/>
        <v>66.471054285714288</v>
      </c>
      <c r="T8" s="3">
        <f t="shared" si="0"/>
        <v>2.7151170399999998E-3</v>
      </c>
    </row>
    <row r="9" spans="1:20" x14ac:dyDescent="0.3">
      <c r="A9">
        <v>6</v>
      </c>
      <c r="B9" t="s">
        <v>9</v>
      </c>
      <c r="D9">
        <v>2.4</v>
      </c>
      <c r="E9">
        <v>162.074973</v>
      </c>
      <c r="F9">
        <v>60.427214900000003</v>
      </c>
      <c r="G9">
        <v>132.223916</v>
      </c>
      <c r="H9" s="1">
        <v>2.4090518900000001E-3</v>
      </c>
      <c r="I9">
        <v>4.1093704799999999</v>
      </c>
      <c r="J9" s="1">
        <v>42.776083800000002</v>
      </c>
      <c r="K9">
        <v>75.0124809</v>
      </c>
      <c r="L9">
        <v>52723.875699999997</v>
      </c>
      <c r="M9">
        <v>175</v>
      </c>
      <c r="N9">
        <v>75</v>
      </c>
      <c r="O9">
        <v>49750</v>
      </c>
      <c r="P9">
        <v>50000</v>
      </c>
      <c r="Q9">
        <v>136.33569600000001</v>
      </c>
      <c r="R9">
        <v>52841.664299999997</v>
      </c>
      <c r="S9" s="3">
        <f t="shared" si="0"/>
        <v>75.556523428571438</v>
      </c>
      <c r="T9" s="3">
        <f t="shared" si="0"/>
        <v>3.2120691866666671E-3</v>
      </c>
    </row>
    <row r="10" spans="1:20" x14ac:dyDescent="0.3">
      <c r="A10">
        <v>7</v>
      </c>
      <c r="B10" t="s">
        <v>9</v>
      </c>
      <c r="D10">
        <v>2.5</v>
      </c>
      <c r="E10">
        <v>163.68152900000001</v>
      </c>
      <c r="F10">
        <v>60.483374400000002</v>
      </c>
      <c r="G10">
        <v>148.734577</v>
      </c>
      <c r="H10">
        <v>2.8350640299999999E-3</v>
      </c>
      <c r="I10">
        <v>4.6360294299999998</v>
      </c>
      <c r="J10" s="1">
        <v>26.2654234</v>
      </c>
      <c r="K10">
        <v>75.012054899999995</v>
      </c>
      <c r="L10">
        <v>52723.349099999999</v>
      </c>
      <c r="M10">
        <v>175</v>
      </c>
      <c r="N10">
        <v>75</v>
      </c>
      <c r="O10">
        <v>49750</v>
      </c>
      <c r="P10">
        <v>50000</v>
      </c>
      <c r="Q10">
        <v>153.37344100000001</v>
      </c>
      <c r="R10">
        <v>52824.626600000003</v>
      </c>
      <c r="S10" s="3">
        <f t="shared" si="0"/>
        <v>84.991186857142864</v>
      </c>
      <c r="T10" s="3">
        <f t="shared" si="0"/>
        <v>3.7800853733333329E-3</v>
      </c>
    </row>
    <row r="11" spans="1:20" x14ac:dyDescent="0.3">
      <c r="A11">
        <v>8</v>
      </c>
      <c r="B11" t="s">
        <v>9</v>
      </c>
      <c r="D11">
        <v>2.6</v>
      </c>
      <c r="E11">
        <v>165.28460799999999</v>
      </c>
      <c r="F11">
        <v>60.542750300000002</v>
      </c>
      <c r="G11">
        <v>165.86862099999999</v>
      </c>
      <c r="H11">
        <v>3.3259704400000001E-3</v>
      </c>
      <c r="I11">
        <v>5.1857801500000003</v>
      </c>
      <c r="J11" s="1">
        <v>9.1313787299999998</v>
      </c>
      <c r="K11">
        <v>75.011564000000007</v>
      </c>
      <c r="L11">
        <v>52722.799299999999</v>
      </c>
      <c r="M11">
        <v>175</v>
      </c>
      <c r="N11">
        <v>75</v>
      </c>
      <c r="O11">
        <v>49750</v>
      </c>
      <c r="P11">
        <v>50000</v>
      </c>
      <c r="Q11">
        <v>171.057727</v>
      </c>
      <c r="R11">
        <v>52806.942300000002</v>
      </c>
      <c r="S11" s="3">
        <f t="shared" si="0"/>
        <v>94.782069142857139</v>
      </c>
      <c r="T11" s="3">
        <f t="shared" si="0"/>
        <v>4.4346272533333335E-3</v>
      </c>
    </row>
    <row r="12" spans="1:20" x14ac:dyDescent="0.3">
      <c r="A12">
        <v>9</v>
      </c>
      <c r="B12" t="s">
        <v>9</v>
      </c>
      <c r="D12">
        <v>2.7</v>
      </c>
      <c r="E12">
        <v>166.11676900000001</v>
      </c>
      <c r="F12">
        <v>61.225959799999998</v>
      </c>
      <c r="G12">
        <v>175.00000299999999</v>
      </c>
      <c r="H12">
        <v>0.49103195300000002</v>
      </c>
      <c r="I12">
        <v>8.07323345</v>
      </c>
      <c r="J12" s="1">
        <v>2.3109541599999999E-15</v>
      </c>
      <c r="K12">
        <v>74.523857899999996</v>
      </c>
      <c r="L12">
        <v>52719.911899999999</v>
      </c>
      <c r="M12">
        <v>175</v>
      </c>
      <c r="N12">
        <v>75</v>
      </c>
      <c r="O12">
        <v>49750</v>
      </c>
      <c r="P12">
        <v>50000</v>
      </c>
      <c r="Q12">
        <v>183.564268</v>
      </c>
      <c r="R12">
        <v>52794.435700000002</v>
      </c>
      <c r="S12" s="3">
        <f t="shared" si="0"/>
        <v>100.00000171428572</v>
      </c>
      <c r="T12" s="3">
        <f t="shared" si="0"/>
        <v>0.65470927066666673</v>
      </c>
    </row>
    <row r="13" spans="1:20" x14ac:dyDescent="0.3">
      <c r="A13">
        <v>10</v>
      </c>
      <c r="B13" t="s">
        <v>9</v>
      </c>
      <c r="D13">
        <v>2.8</v>
      </c>
      <c r="E13">
        <v>166.131393</v>
      </c>
      <c r="F13">
        <v>62.233038700000002</v>
      </c>
      <c r="G13">
        <v>175.00000199999999</v>
      </c>
      <c r="H13">
        <v>3.2667796400000002</v>
      </c>
      <c r="I13">
        <v>10.721762200000001</v>
      </c>
      <c r="J13" s="1">
        <v>2.12667903E-17</v>
      </c>
      <c r="K13">
        <v>71.748110100000005</v>
      </c>
      <c r="L13">
        <v>52717.263299999999</v>
      </c>
      <c r="M13">
        <v>175</v>
      </c>
      <c r="N13">
        <v>75</v>
      </c>
      <c r="O13">
        <v>49750</v>
      </c>
      <c r="P13">
        <v>50000</v>
      </c>
      <c r="Q13">
        <v>188.98854399999999</v>
      </c>
      <c r="R13">
        <v>52789.011500000001</v>
      </c>
      <c r="S13" s="3">
        <f t="shared" si="0"/>
        <v>100.00000114285713</v>
      </c>
      <c r="T13" s="3">
        <f t="shared" si="0"/>
        <v>4.3557061866666666</v>
      </c>
    </row>
    <row r="14" spans="1:20" x14ac:dyDescent="0.3">
      <c r="A14">
        <v>11</v>
      </c>
      <c r="B14" t="s">
        <v>9</v>
      </c>
      <c r="D14">
        <v>2.9</v>
      </c>
      <c r="E14">
        <v>166.15268</v>
      </c>
      <c r="F14">
        <v>63.644201799999998</v>
      </c>
      <c r="G14">
        <v>174.99998299999999</v>
      </c>
      <c r="H14">
        <v>7.3047789400000003</v>
      </c>
      <c r="I14">
        <v>12.9434793</v>
      </c>
      <c r="J14" s="1">
        <v>9.1047620800000002E-18</v>
      </c>
      <c r="K14">
        <v>67.710113399999997</v>
      </c>
      <c r="L14">
        <v>52715.041599999997</v>
      </c>
      <c r="M14">
        <v>175</v>
      </c>
      <c r="N14">
        <v>75</v>
      </c>
      <c r="O14">
        <v>49750</v>
      </c>
      <c r="P14">
        <v>50000</v>
      </c>
      <c r="Q14">
        <v>195.24824100000001</v>
      </c>
      <c r="R14">
        <v>52782.751799999998</v>
      </c>
      <c r="S14" s="3">
        <f t="shared" si="0"/>
        <v>99.999990285714276</v>
      </c>
      <c r="T14" s="3">
        <f t="shared" si="0"/>
        <v>9.7397052533333337</v>
      </c>
    </row>
    <row r="15" spans="1:20" x14ac:dyDescent="0.3">
      <c r="A15">
        <v>12</v>
      </c>
      <c r="B15" t="s">
        <v>9</v>
      </c>
      <c r="D15">
        <v>3</v>
      </c>
      <c r="E15">
        <v>166.17586</v>
      </c>
      <c r="F15">
        <v>66.166904599999995</v>
      </c>
      <c r="G15">
        <v>174.99999299999999</v>
      </c>
      <c r="H15">
        <v>11.702068499999999</v>
      </c>
      <c r="I15">
        <v>15.8530614</v>
      </c>
      <c r="J15" s="1">
        <v>4.3652561400000001E-18</v>
      </c>
      <c r="K15">
        <v>63.312822199999999</v>
      </c>
      <c r="L15">
        <v>52712.132100000003</v>
      </c>
      <c r="M15">
        <v>175</v>
      </c>
      <c r="N15">
        <v>75</v>
      </c>
      <c r="O15">
        <v>49750</v>
      </c>
      <c r="P15">
        <v>50000</v>
      </c>
      <c r="Q15">
        <v>202.55512300000001</v>
      </c>
      <c r="R15">
        <v>52775.444900000002</v>
      </c>
      <c r="S15" s="3">
        <f t="shared" si="0"/>
        <v>99.999995999999996</v>
      </c>
      <c r="T15" s="3">
        <f t="shared" si="0"/>
        <v>15.602758</v>
      </c>
    </row>
    <row r="16" spans="1:20" x14ac:dyDescent="0.3">
      <c r="A16">
        <v>13</v>
      </c>
      <c r="B16" t="s">
        <v>9</v>
      </c>
      <c r="D16">
        <v>3.1</v>
      </c>
      <c r="E16">
        <v>166.199423</v>
      </c>
      <c r="F16">
        <v>70.959438199999994</v>
      </c>
      <c r="G16">
        <v>174.999999</v>
      </c>
      <c r="H16">
        <v>16.173294800000001</v>
      </c>
      <c r="I16">
        <v>20.2841822</v>
      </c>
      <c r="J16" s="1">
        <v>2.2414445300000002E-18</v>
      </c>
      <c r="K16">
        <v>58.841594399999998</v>
      </c>
      <c r="L16">
        <v>52707.700900000003</v>
      </c>
      <c r="M16">
        <v>175</v>
      </c>
      <c r="N16">
        <v>75</v>
      </c>
      <c r="O16">
        <v>49750</v>
      </c>
      <c r="P16">
        <v>50000</v>
      </c>
      <c r="Q16">
        <v>211.45747600000001</v>
      </c>
      <c r="R16">
        <v>52766.542500000003</v>
      </c>
      <c r="S16" s="3">
        <f t="shared" si="0"/>
        <v>99.999999428571428</v>
      </c>
      <c r="T16" s="3">
        <f t="shared" si="0"/>
        <v>21.564393066666668</v>
      </c>
    </row>
    <row r="17" spans="1:20" x14ac:dyDescent="0.3">
      <c r="A17">
        <v>14</v>
      </c>
      <c r="B17" t="s">
        <v>9</v>
      </c>
      <c r="D17">
        <v>3.2</v>
      </c>
      <c r="E17">
        <v>166.22289900000001</v>
      </c>
      <c r="F17">
        <v>80.119719799999999</v>
      </c>
      <c r="G17">
        <v>175.000001</v>
      </c>
      <c r="H17">
        <v>20.630802299999999</v>
      </c>
      <c r="I17">
        <v>27.933388300000001</v>
      </c>
      <c r="J17" s="1">
        <v>1.2150030199999999E-18</v>
      </c>
      <c r="K17">
        <v>54.384085800000001</v>
      </c>
      <c r="L17">
        <v>52700.051700000004</v>
      </c>
      <c r="M17">
        <v>175</v>
      </c>
      <c r="N17">
        <v>75</v>
      </c>
      <c r="O17">
        <v>49750</v>
      </c>
      <c r="P17">
        <v>50000</v>
      </c>
      <c r="Q17">
        <v>223.56419199999999</v>
      </c>
      <c r="R17">
        <v>52754.435799999999</v>
      </c>
      <c r="S17" s="3">
        <f t="shared" si="0"/>
        <v>100.00000057142857</v>
      </c>
      <c r="T17" s="3">
        <f t="shared" si="0"/>
        <v>27.507736399999999</v>
      </c>
    </row>
    <row r="18" spans="1:20" x14ac:dyDescent="0.3">
      <c r="A18">
        <v>15</v>
      </c>
      <c r="B18" t="s">
        <v>9</v>
      </c>
      <c r="D18">
        <v>3.3</v>
      </c>
      <c r="E18">
        <v>166.24613299999999</v>
      </c>
      <c r="F18">
        <v>96.190377299999994</v>
      </c>
      <c r="G18">
        <v>175.00001800000001</v>
      </c>
      <c r="H18">
        <v>25.048966799999999</v>
      </c>
      <c r="I18">
        <v>43.885709499999997</v>
      </c>
      <c r="J18" s="1">
        <v>6.7635668099999999E-19</v>
      </c>
      <c r="K18">
        <v>49.965919599999999</v>
      </c>
      <c r="L18">
        <v>52684.099399999999</v>
      </c>
      <c r="M18">
        <v>175</v>
      </c>
      <c r="N18">
        <v>75</v>
      </c>
      <c r="O18">
        <v>49750</v>
      </c>
      <c r="P18">
        <v>50000</v>
      </c>
      <c r="Q18">
        <v>243.93469400000001</v>
      </c>
      <c r="R18">
        <v>52734.065300000002</v>
      </c>
      <c r="S18" s="3">
        <f t="shared" si="0"/>
        <v>100.0000102857143</v>
      </c>
      <c r="T18" s="3">
        <f t="shared" si="0"/>
        <v>33.398622400000001</v>
      </c>
    </row>
    <row r="19" spans="1:20" x14ac:dyDescent="0.3">
      <c r="A19">
        <v>16</v>
      </c>
      <c r="B19" t="s">
        <v>9</v>
      </c>
      <c r="D19">
        <v>3.4</v>
      </c>
      <c r="E19">
        <v>166.26920999999999</v>
      </c>
      <c r="F19">
        <v>118.894988</v>
      </c>
      <c r="G19">
        <v>175.00000199999999</v>
      </c>
      <c r="H19">
        <v>29.457464399999999</v>
      </c>
      <c r="I19">
        <v>85.7100942</v>
      </c>
      <c r="J19" s="1">
        <v>3.4756661399999999E-19</v>
      </c>
      <c r="K19">
        <v>45.557422899999999</v>
      </c>
      <c r="L19">
        <v>52642.275000000001</v>
      </c>
      <c r="M19">
        <v>175</v>
      </c>
      <c r="N19">
        <v>75</v>
      </c>
      <c r="O19">
        <v>49750</v>
      </c>
      <c r="P19">
        <v>50000</v>
      </c>
      <c r="Q19">
        <v>290.16756099999998</v>
      </c>
      <c r="R19">
        <v>52687.832399999999</v>
      </c>
      <c r="S19" s="3">
        <f t="shared" si="0"/>
        <v>100.00000114285713</v>
      </c>
      <c r="T19" s="3">
        <f t="shared" si="0"/>
        <v>39.276619199999999</v>
      </c>
    </row>
    <row r="20" spans="1:20" x14ac:dyDescent="0.3">
      <c r="A20">
        <v>17</v>
      </c>
      <c r="B20" t="s">
        <v>9</v>
      </c>
      <c r="D20">
        <v>3.5</v>
      </c>
      <c r="E20">
        <v>166.29245499999999</v>
      </c>
      <c r="F20">
        <v>138.67389399999999</v>
      </c>
      <c r="G20">
        <v>174.99993000000001</v>
      </c>
      <c r="H20">
        <v>33.937596999999997</v>
      </c>
      <c r="I20">
        <v>187.39273800000001</v>
      </c>
      <c r="J20" s="1">
        <v>1.1882933999999999E-18</v>
      </c>
      <c r="K20">
        <v>41.077294600000002</v>
      </c>
      <c r="L20">
        <v>52540.592400000001</v>
      </c>
      <c r="M20">
        <v>175</v>
      </c>
      <c r="N20">
        <v>75</v>
      </c>
      <c r="O20">
        <v>49750</v>
      </c>
      <c r="P20">
        <v>50000</v>
      </c>
      <c r="Q20">
        <v>396.330264</v>
      </c>
      <c r="R20">
        <v>52581.669699999999</v>
      </c>
      <c r="S20" s="3">
        <f t="shared" si="0"/>
        <v>99.999960000000016</v>
      </c>
      <c r="T20" s="3">
        <f t="shared" si="0"/>
        <v>45.250129333333327</v>
      </c>
    </row>
    <row r="21" spans="1:20" x14ac:dyDescent="0.3">
      <c r="A21">
        <v>18</v>
      </c>
      <c r="B21" t="s">
        <v>9</v>
      </c>
      <c r="D21">
        <v>3.6</v>
      </c>
      <c r="E21">
        <v>166.31555700000001</v>
      </c>
      <c r="F21">
        <v>148.729118</v>
      </c>
      <c r="G21">
        <v>175</v>
      </c>
      <c r="H21">
        <v>38.4098021</v>
      </c>
      <c r="I21">
        <v>340.41562399999998</v>
      </c>
      <c r="J21" s="1">
        <v>4.5859447399999996E-19</v>
      </c>
      <c r="K21">
        <v>36.605087900000001</v>
      </c>
      <c r="L21">
        <v>52387.569499999998</v>
      </c>
      <c r="M21">
        <v>175</v>
      </c>
      <c r="N21">
        <v>75</v>
      </c>
      <c r="O21">
        <v>49750</v>
      </c>
      <c r="P21">
        <v>50000</v>
      </c>
      <c r="Q21">
        <v>553.82542599999999</v>
      </c>
      <c r="R21">
        <v>52424.174599999998</v>
      </c>
      <c r="S21" s="3">
        <f t="shared" ref="S21:T46" si="1">100*G21/M21</f>
        <v>100</v>
      </c>
      <c r="T21" s="3">
        <f t="shared" si="1"/>
        <v>51.213069466666667</v>
      </c>
    </row>
    <row r="22" spans="1:20" x14ac:dyDescent="0.3">
      <c r="A22">
        <v>19</v>
      </c>
      <c r="B22" t="s">
        <v>9</v>
      </c>
      <c r="D22">
        <v>3.7</v>
      </c>
      <c r="E22">
        <v>166.337864</v>
      </c>
      <c r="F22">
        <v>153.547788</v>
      </c>
      <c r="G22">
        <v>175</v>
      </c>
      <c r="H22">
        <v>42.7198396</v>
      </c>
      <c r="I22">
        <v>513.58454400000005</v>
      </c>
      <c r="J22" s="1">
        <v>8.9485083200000001E-20</v>
      </c>
      <c r="K22">
        <v>32.295050400000001</v>
      </c>
      <c r="L22">
        <v>52214.400600000001</v>
      </c>
      <c r="M22">
        <v>175</v>
      </c>
      <c r="N22">
        <v>75</v>
      </c>
      <c r="O22">
        <v>49750</v>
      </c>
      <c r="P22">
        <v>50000</v>
      </c>
      <c r="Q22">
        <v>731.30438300000003</v>
      </c>
      <c r="R22">
        <v>52246.695599999999</v>
      </c>
      <c r="S22" s="3">
        <f t="shared" si="1"/>
        <v>100</v>
      </c>
      <c r="T22" s="3">
        <f t="shared" si="1"/>
        <v>56.959786133333324</v>
      </c>
    </row>
    <row r="23" spans="1:20" x14ac:dyDescent="0.3">
      <c r="A23">
        <v>20</v>
      </c>
      <c r="B23" t="s">
        <v>9</v>
      </c>
      <c r="D23">
        <v>3.8</v>
      </c>
      <c r="E23">
        <v>166.35899499999999</v>
      </c>
      <c r="F23">
        <v>156.209791</v>
      </c>
      <c r="G23">
        <v>175</v>
      </c>
      <c r="H23">
        <v>46.786276200000003</v>
      </c>
      <c r="I23">
        <v>694.42152799999997</v>
      </c>
      <c r="J23" s="1">
        <v>5.6159580499999997E-20</v>
      </c>
      <c r="K23">
        <v>28.228613800000002</v>
      </c>
      <c r="L23">
        <v>52033.563600000001</v>
      </c>
      <c r="M23">
        <v>175</v>
      </c>
      <c r="N23">
        <v>75</v>
      </c>
      <c r="O23">
        <v>49750</v>
      </c>
      <c r="P23">
        <v>50000</v>
      </c>
      <c r="Q23">
        <v>916.20780500000001</v>
      </c>
      <c r="R23">
        <v>52061.792200000004</v>
      </c>
      <c r="S23" s="3">
        <f t="shared" si="1"/>
        <v>100</v>
      </c>
      <c r="T23" s="3">
        <f t="shared" si="1"/>
        <v>62.3817016</v>
      </c>
    </row>
    <row r="24" spans="1:20" x14ac:dyDescent="0.3">
      <c r="A24">
        <v>21</v>
      </c>
      <c r="B24" t="s">
        <v>9</v>
      </c>
      <c r="D24">
        <v>3.9</v>
      </c>
      <c r="E24">
        <v>166.37871200000001</v>
      </c>
      <c r="F24">
        <v>157.87184500000001</v>
      </c>
      <c r="G24">
        <v>174.99999099999999</v>
      </c>
      <c r="H24">
        <v>50.5633081</v>
      </c>
      <c r="I24">
        <v>878.94055700000001</v>
      </c>
      <c r="J24" s="1">
        <v>5.2577690799999998E-23</v>
      </c>
      <c r="K24">
        <v>24.451582200000001</v>
      </c>
      <c r="L24">
        <v>51849.044600000001</v>
      </c>
      <c r="M24">
        <v>175</v>
      </c>
      <c r="N24">
        <v>75</v>
      </c>
      <c r="O24">
        <v>49750</v>
      </c>
      <c r="P24">
        <v>50000</v>
      </c>
      <c r="Q24">
        <v>1104.50386</v>
      </c>
      <c r="R24">
        <v>51873.496099999997</v>
      </c>
      <c r="S24" s="3">
        <f t="shared" si="1"/>
        <v>99.999994857142866</v>
      </c>
      <c r="T24" s="3">
        <f t="shared" si="1"/>
        <v>67.417744133333343</v>
      </c>
    </row>
    <row r="25" spans="1:20" x14ac:dyDescent="0.3">
      <c r="A25">
        <v>22</v>
      </c>
      <c r="B25" t="s">
        <v>9</v>
      </c>
      <c r="D25">
        <v>4</v>
      </c>
      <c r="E25">
        <v>166.396849</v>
      </c>
      <c r="F25">
        <v>159.004277</v>
      </c>
      <c r="G25">
        <v>174.99999700000001</v>
      </c>
      <c r="H25">
        <v>54.021436000000001</v>
      </c>
      <c r="I25">
        <v>1065.62859</v>
      </c>
      <c r="J25" s="1">
        <v>1.5702450299999999E-23</v>
      </c>
      <c r="K25">
        <v>20.993454100000001</v>
      </c>
      <c r="L25">
        <v>51662.356500000002</v>
      </c>
      <c r="M25">
        <v>175</v>
      </c>
      <c r="N25">
        <v>75</v>
      </c>
      <c r="O25">
        <v>49750</v>
      </c>
      <c r="P25">
        <v>50000</v>
      </c>
      <c r="Q25">
        <v>1294.65002</v>
      </c>
      <c r="R25">
        <v>51683.35</v>
      </c>
      <c r="S25" s="3">
        <f t="shared" si="1"/>
        <v>99.999998285714284</v>
      </c>
      <c r="T25" s="3">
        <f t="shared" si="1"/>
        <v>72.028581333333335</v>
      </c>
    </row>
    <row r="26" spans="1:20" x14ac:dyDescent="0.3">
      <c r="A26">
        <v>23</v>
      </c>
      <c r="B26" t="s">
        <v>9</v>
      </c>
      <c r="D26">
        <v>4.0999999999999996</v>
      </c>
      <c r="E26">
        <v>166.413297</v>
      </c>
      <c r="F26">
        <v>159.82612499999999</v>
      </c>
      <c r="G26">
        <v>174.999999</v>
      </c>
      <c r="H26">
        <v>57.143181400000003</v>
      </c>
      <c r="I26">
        <v>1253.8031100000001</v>
      </c>
      <c r="J26" s="1">
        <v>4.0729006900000001E-19</v>
      </c>
      <c r="K26">
        <v>17.871708600000002</v>
      </c>
      <c r="L26">
        <v>51474.182000000001</v>
      </c>
      <c r="M26">
        <v>175</v>
      </c>
      <c r="N26">
        <v>75</v>
      </c>
      <c r="O26">
        <v>49750</v>
      </c>
      <c r="P26">
        <v>50000</v>
      </c>
      <c r="Q26">
        <v>1485.9462900000001</v>
      </c>
      <c r="R26">
        <v>51492.053699999997</v>
      </c>
      <c r="S26" s="3">
        <f t="shared" si="1"/>
        <v>99.999999428571428</v>
      </c>
      <c r="T26" s="3">
        <f t="shared" si="1"/>
        <v>76.190908533333342</v>
      </c>
    </row>
    <row r="27" spans="1:20" x14ac:dyDescent="0.3">
      <c r="A27">
        <v>24</v>
      </c>
      <c r="B27" t="s">
        <v>9</v>
      </c>
      <c r="D27">
        <v>4.2</v>
      </c>
      <c r="E27">
        <v>166.42800700000001</v>
      </c>
      <c r="F27">
        <v>160.45130800000001</v>
      </c>
      <c r="G27">
        <v>174.999999</v>
      </c>
      <c r="H27">
        <v>59.922474999999999</v>
      </c>
      <c r="I27">
        <v>1443.10672</v>
      </c>
      <c r="J27" s="1">
        <v>8.4242363400000007E-21</v>
      </c>
      <c r="K27">
        <v>15.092415000000001</v>
      </c>
      <c r="L27">
        <v>51284.878400000001</v>
      </c>
      <c r="M27">
        <v>175</v>
      </c>
      <c r="N27">
        <v>75</v>
      </c>
      <c r="O27">
        <v>49750</v>
      </c>
      <c r="P27">
        <v>50000</v>
      </c>
      <c r="Q27">
        <v>1678.0291999999999</v>
      </c>
      <c r="R27">
        <v>51299.970800000003</v>
      </c>
      <c r="S27" s="3">
        <f t="shared" si="1"/>
        <v>99.999999428571428</v>
      </c>
      <c r="T27" s="3">
        <f t="shared" si="1"/>
        <v>79.896633333333327</v>
      </c>
    </row>
    <row r="28" spans="1:20" x14ac:dyDescent="0.3">
      <c r="A28">
        <v>25</v>
      </c>
      <c r="B28" t="s">
        <v>9</v>
      </c>
      <c r="D28">
        <v>4.3</v>
      </c>
      <c r="E28">
        <v>166.44098700000001</v>
      </c>
      <c r="F28">
        <v>160.94434100000001</v>
      </c>
      <c r="G28">
        <v>175</v>
      </c>
      <c r="H28">
        <v>62.363941799999999</v>
      </c>
      <c r="I28">
        <v>1633.3258800000001</v>
      </c>
      <c r="J28" s="1">
        <v>4.3177721E-24</v>
      </c>
      <c r="K28">
        <v>12.6509482</v>
      </c>
      <c r="L28">
        <v>51094.659200000002</v>
      </c>
      <c r="M28">
        <v>175</v>
      </c>
      <c r="N28">
        <v>75</v>
      </c>
      <c r="O28">
        <v>49750</v>
      </c>
      <c r="P28">
        <v>50000</v>
      </c>
      <c r="Q28">
        <v>1870.6898200000001</v>
      </c>
      <c r="R28">
        <v>51107.3102</v>
      </c>
      <c r="S28" s="3">
        <f t="shared" si="1"/>
        <v>100</v>
      </c>
      <c r="T28" s="3">
        <f t="shared" si="1"/>
        <v>83.151922400000004</v>
      </c>
    </row>
    <row r="29" spans="1:20" x14ac:dyDescent="0.3">
      <c r="A29">
        <v>26</v>
      </c>
      <c r="B29" t="s">
        <v>9</v>
      </c>
      <c r="D29">
        <v>4.4000000000000004</v>
      </c>
      <c r="E29">
        <v>166.45229399999999</v>
      </c>
      <c r="F29">
        <v>161.34424999999999</v>
      </c>
      <c r="G29">
        <v>175</v>
      </c>
      <c r="H29">
        <v>64.481590199999999</v>
      </c>
      <c r="I29">
        <v>1824.31594</v>
      </c>
      <c r="J29" s="1">
        <v>1.0257031800000001E-19</v>
      </c>
      <c r="K29">
        <v>10.5332998</v>
      </c>
      <c r="L29">
        <v>50903.669199999997</v>
      </c>
      <c r="M29">
        <v>175</v>
      </c>
      <c r="N29">
        <v>75</v>
      </c>
      <c r="O29">
        <v>49750</v>
      </c>
      <c r="P29">
        <v>50000</v>
      </c>
      <c r="Q29">
        <v>2063.7975299999998</v>
      </c>
      <c r="R29">
        <v>50914.202499999999</v>
      </c>
      <c r="S29" s="3">
        <f t="shared" si="1"/>
        <v>100</v>
      </c>
      <c r="T29" s="3">
        <f t="shared" si="1"/>
        <v>85.975453599999994</v>
      </c>
    </row>
    <row r="30" spans="1:20" x14ac:dyDescent="0.3">
      <c r="A30">
        <v>27</v>
      </c>
      <c r="B30" t="s">
        <v>9</v>
      </c>
      <c r="D30">
        <v>4.5</v>
      </c>
      <c r="E30">
        <v>166.462028</v>
      </c>
      <c r="F30">
        <v>161.67592400000001</v>
      </c>
      <c r="G30">
        <v>175</v>
      </c>
      <c r="H30">
        <v>66.296883600000001</v>
      </c>
      <c r="I30">
        <v>2015.9676099999999</v>
      </c>
      <c r="J30" s="1">
        <v>3.3869484E-21</v>
      </c>
      <c r="K30">
        <v>8.7180064099999992</v>
      </c>
      <c r="L30">
        <v>50712.017500000002</v>
      </c>
      <c r="M30">
        <v>175</v>
      </c>
      <c r="N30">
        <v>75</v>
      </c>
      <c r="O30">
        <v>49750</v>
      </c>
      <c r="P30">
        <v>50000</v>
      </c>
      <c r="Q30">
        <v>2257.26449</v>
      </c>
      <c r="R30">
        <v>50720.735500000003</v>
      </c>
      <c r="S30" s="3">
        <f t="shared" si="1"/>
        <v>100</v>
      </c>
      <c r="T30" s="3">
        <f t="shared" si="1"/>
        <v>88.395844800000006</v>
      </c>
    </row>
    <row r="31" spans="1:20" x14ac:dyDescent="0.3">
      <c r="A31">
        <v>28</v>
      </c>
      <c r="B31" t="s">
        <v>9</v>
      </c>
      <c r="D31">
        <v>4.5999999999999996</v>
      </c>
      <c r="E31">
        <v>166.47031799999999</v>
      </c>
      <c r="F31">
        <v>161.95594399999999</v>
      </c>
      <c r="G31">
        <v>175</v>
      </c>
      <c r="H31">
        <v>67.836469399999999</v>
      </c>
      <c r="I31">
        <v>2208.1914000000002</v>
      </c>
      <c r="J31" s="1">
        <v>6.5034733899999995E-25</v>
      </c>
      <c r="K31">
        <v>7.1784205600000002</v>
      </c>
      <c r="L31">
        <v>50519.793700000002</v>
      </c>
      <c r="M31">
        <v>175</v>
      </c>
      <c r="N31">
        <v>75</v>
      </c>
      <c r="O31">
        <v>49750</v>
      </c>
      <c r="P31">
        <v>50000</v>
      </c>
      <c r="Q31">
        <v>2451.0278699999999</v>
      </c>
      <c r="R31">
        <v>50526.972099999999</v>
      </c>
      <c r="S31" s="3">
        <f t="shared" si="1"/>
        <v>100</v>
      </c>
      <c r="T31" s="3">
        <f t="shared" si="1"/>
        <v>90.44862586666666</v>
      </c>
    </row>
    <row r="32" spans="1:20" x14ac:dyDescent="0.3">
      <c r="A32">
        <v>29</v>
      </c>
      <c r="B32" t="s">
        <v>9</v>
      </c>
      <c r="D32">
        <v>4.7</v>
      </c>
      <c r="E32">
        <v>166.47731099999999</v>
      </c>
      <c r="F32">
        <v>162.19577799999999</v>
      </c>
      <c r="G32">
        <v>175</v>
      </c>
      <c r="H32">
        <v>69.129893300000006</v>
      </c>
      <c r="I32">
        <v>2400.9103799999998</v>
      </c>
      <c r="J32" s="1">
        <v>4.9769736999999997E-20</v>
      </c>
      <c r="K32">
        <v>5.8849966900000004</v>
      </c>
      <c r="L32">
        <v>50327.074699999997</v>
      </c>
      <c r="M32">
        <v>175</v>
      </c>
      <c r="N32">
        <v>75</v>
      </c>
      <c r="O32">
        <v>49750</v>
      </c>
      <c r="P32">
        <v>50000</v>
      </c>
      <c r="Q32">
        <v>2645.04027</v>
      </c>
      <c r="R32">
        <v>50332.959699999999</v>
      </c>
      <c r="S32" s="3">
        <f t="shared" si="1"/>
        <v>100</v>
      </c>
      <c r="T32" s="3">
        <f t="shared" si="1"/>
        <v>92.173191066666675</v>
      </c>
    </row>
    <row r="33" spans="1:20" x14ac:dyDescent="0.3">
      <c r="A33">
        <v>30</v>
      </c>
      <c r="B33" t="s">
        <v>9</v>
      </c>
      <c r="D33">
        <v>4.8</v>
      </c>
      <c r="E33">
        <v>166.48316199999999</v>
      </c>
      <c r="F33">
        <v>162.40361899999999</v>
      </c>
      <c r="G33">
        <v>175</v>
      </c>
      <c r="H33">
        <v>70.207567499999996</v>
      </c>
      <c r="I33">
        <v>2594.0568899999998</v>
      </c>
      <c r="J33" s="1">
        <v>2.4911104999999999E-20</v>
      </c>
      <c r="K33">
        <v>4.8073225199999996</v>
      </c>
      <c r="L33">
        <v>50133.928200000002</v>
      </c>
      <c r="M33">
        <v>175</v>
      </c>
      <c r="N33">
        <v>75</v>
      </c>
      <c r="O33">
        <v>49750</v>
      </c>
      <c r="P33">
        <v>50000</v>
      </c>
      <c r="Q33">
        <v>2839.2644599999999</v>
      </c>
      <c r="R33">
        <v>50138.735500000003</v>
      </c>
      <c r="S33" s="3">
        <f t="shared" si="1"/>
        <v>100</v>
      </c>
      <c r="T33" s="3">
        <f t="shared" si="1"/>
        <v>93.61009</v>
      </c>
    </row>
    <row r="34" spans="1:20" x14ac:dyDescent="0.3">
      <c r="A34">
        <v>31</v>
      </c>
      <c r="B34" t="s">
        <v>9</v>
      </c>
      <c r="D34">
        <v>4.9000000000000004</v>
      </c>
      <c r="E34">
        <v>166.488021</v>
      </c>
      <c r="F34">
        <v>162.58549500000001</v>
      </c>
      <c r="G34">
        <v>175</v>
      </c>
      <c r="H34">
        <v>71.099155999999994</v>
      </c>
      <c r="I34">
        <v>2787.5711299999998</v>
      </c>
      <c r="J34" s="1">
        <v>2.4799777199999999E-20</v>
      </c>
      <c r="K34">
        <v>3.915734</v>
      </c>
      <c r="L34">
        <v>49940.413999999997</v>
      </c>
      <c r="M34">
        <v>175</v>
      </c>
      <c r="N34">
        <v>75</v>
      </c>
      <c r="O34">
        <v>49750</v>
      </c>
      <c r="P34">
        <v>50000</v>
      </c>
      <c r="Q34">
        <v>3033.67029</v>
      </c>
      <c r="R34">
        <v>49944.329700000002</v>
      </c>
      <c r="S34" s="3">
        <f t="shared" si="1"/>
        <v>100</v>
      </c>
      <c r="T34" s="3">
        <f t="shared" si="1"/>
        <v>94.798874666666663</v>
      </c>
    </row>
    <row r="35" spans="1:20" x14ac:dyDescent="0.3">
      <c r="A35">
        <v>32</v>
      </c>
      <c r="B35" t="s">
        <v>9</v>
      </c>
      <c r="D35">
        <v>5</v>
      </c>
      <c r="E35">
        <v>166.49203399999999</v>
      </c>
      <c r="F35">
        <v>162.74595400000001</v>
      </c>
      <c r="G35">
        <v>175</v>
      </c>
      <c r="H35">
        <v>71.832430500000001</v>
      </c>
      <c r="I35">
        <v>2981.4003499999999</v>
      </c>
      <c r="J35" s="1">
        <v>1.16032404E-21</v>
      </c>
      <c r="K35">
        <v>3.18245953</v>
      </c>
      <c r="L35">
        <v>49746.584799999997</v>
      </c>
      <c r="M35">
        <v>175</v>
      </c>
      <c r="N35">
        <v>75</v>
      </c>
      <c r="O35">
        <v>49750</v>
      </c>
      <c r="P35">
        <v>50000</v>
      </c>
      <c r="Q35">
        <v>3228.2327799999998</v>
      </c>
      <c r="R35">
        <v>49749.767200000002</v>
      </c>
      <c r="S35" s="3">
        <f t="shared" si="1"/>
        <v>100</v>
      </c>
      <c r="T35" s="3">
        <f t="shared" si="1"/>
        <v>95.776573999999997</v>
      </c>
    </row>
    <row r="36" spans="1:20" x14ac:dyDescent="0.3">
      <c r="A36">
        <v>33</v>
      </c>
      <c r="B36" t="s">
        <v>9</v>
      </c>
      <c r="D36">
        <v>5.0999999999999996</v>
      </c>
      <c r="E36">
        <v>166.49533099999999</v>
      </c>
      <c r="F36">
        <v>162.888509</v>
      </c>
      <c r="G36">
        <v>175</v>
      </c>
      <c r="H36">
        <v>72.432568500000002</v>
      </c>
      <c r="I36">
        <v>3175.49845</v>
      </c>
      <c r="J36" s="1">
        <v>3.8599972099999999E-22</v>
      </c>
      <c r="K36">
        <v>2.5823215300000002</v>
      </c>
      <c r="L36">
        <v>49552.486700000001</v>
      </c>
      <c r="M36">
        <v>175</v>
      </c>
      <c r="N36">
        <v>75</v>
      </c>
      <c r="O36">
        <v>49750</v>
      </c>
      <c r="P36">
        <v>50000</v>
      </c>
      <c r="Q36">
        <v>3422.93102</v>
      </c>
      <c r="R36">
        <v>49555.069000000003</v>
      </c>
      <c r="S36" s="3">
        <f t="shared" si="1"/>
        <v>100</v>
      </c>
      <c r="T36" s="3">
        <f t="shared" si="1"/>
        <v>96.576757999999998</v>
      </c>
    </row>
    <row r="37" spans="1:20" x14ac:dyDescent="0.3">
      <c r="A37">
        <v>34</v>
      </c>
      <c r="B37" t="s">
        <v>9</v>
      </c>
      <c r="D37">
        <v>5.2</v>
      </c>
      <c r="E37">
        <v>166.49803</v>
      </c>
      <c r="F37">
        <v>163.01592500000001</v>
      </c>
      <c r="G37">
        <v>175</v>
      </c>
      <c r="H37">
        <v>72.921819799999994</v>
      </c>
      <c r="I37">
        <v>3369.82546</v>
      </c>
      <c r="J37" s="1">
        <v>7.8932345999999998E-25</v>
      </c>
      <c r="K37">
        <v>2.0930701799999998</v>
      </c>
      <c r="L37">
        <v>49358.159599999999</v>
      </c>
      <c r="M37">
        <v>175</v>
      </c>
      <c r="N37">
        <v>75</v>
      </c>
      <c r="O37">
        <v>49750</v>
      </c>
      <c r="P37">
        <v>50000</v>
      </c>
      <c r="Q37">
        <v>3617.74728</v>
      </c>
      <c r="R37">
        <v>49360.252699999997</v>
      </c>
      <c r="S37" s="3">
        <f t="shared" si="1"/>
        <v>100</v>
      </c>
      <c r="T37" s="3">
        <f t="shared" si="1"/>
        <v>97.229093066666664</v>
      </c>
    </row>
    <row r="38" spans="1:20" x14ac:dyDescent="0.3">
      <c r="A38">
        <v>35</v>
      </c>
      <c r="B38" t="s">
        <v>9</v>
      </c>
      <c r="D38">
        <v>5.3</v>
      </c>
      <c r="E38">
        <v>166.50023100000001</v>
      </c>
      <c r="F38">
        <v>163.13041899999999</v>
      </c>
      <c r="G38">
        <v>175</v>
      </c>
      <c r="H38">
        <v>73.319448300000005</v>
      </c>
      <c r="I38">
        <v>3564.3470499999999</v>
      </c>
      <c r="J38" s="1">
        <v>6.0076173300000003E-21</v>
      </c>
      <c r="K38">
        <v>1.6954416699999999</v>
      </c>
      <c r="L38">
        <v>49163.638099999996</v>
      </c>
      <c r="M38">
        <v>175</v>
      </c>
      <c r="N38">
        <v>75</v>
      </c>
      <c r="O38">
        <v>49750</v>
      </c>
      <c r="P38">
        <v>50000</v>
      </c>
      <c r="Q38">
        <v>3812.6664900000001</v>
      </c>
      <c r="R38">
        <v>49165.333500000001</v>
      </c>
      <c r="S38" s="3">
        <f t="shared" si="1"/>
        <v>100</v>
      </c>
      <c r="T38" s="3">
        <f t="shared" si="1"/>
        <v>97.759264400000006</v>
      </c>
    </row>
    <row r="39" spans="1:20" x14ac:dyDescent="0.3">
      <c r="A39">
        <v>36</v>
      </c>
      <c r="B39" t="s">
        <v>9</v>
      </c>
      <c r="D39">
        <v>5.4</v>
      </c>
      <c r="E39">
        <v>166.50202300000001</v>
      </c>
      <c r="F39">
        <v>163.23379199999999</v>
      </c>
      <c r="G39">
        <v>175</v>
      </c>
      <c r="H39">
        <v>73.641859999999994</v>
      </c>
      <c r="I39">
        <v>3759.0339300000001</v>
      </c>
      <c r="J39" s="1">
        <v>2.9978430600000001E-21</v>
      </c>
      <c r="K39">
        <v>1.37303004</v>
      </c>
      <c r="L39">
        <v>48968.951200000003</v>
      </c>
      <c r="M39">
        <v>175</v>
      </c>
      <c r="N39">
        <v>75</v>
      </c>
      <c r="O39">
        <v>49750</v>
      </c>
      <c r="P39">
        <v>50000</v>
      </c>
      <c r="Q39">
        <v>4007.6757899999998</v>
      </c>
      <c r="R39">
        <v>48970.324200000003</v>
      </c>
      <c r="S39" s="3">
        <f t="shared" si="1"/>
        <v>100</v>
      </c>
      <c r="T39" s="3">
        <f t="shared" si="1"/>
        <v>98.189146666666659</v>
      </c>
    </row>
    <row r="40" spans="1:20" x14ac:dyDescent="0.3">
      <c r="A40">
        <v>37</v>
      </c>
      <c r="B40" t="s">
        <v>9</v>
      </c>
      <c r="D40">
        <v>5.5</v>
      </c>
      <c r="E40">
        <v>166.50348</v>
      </c>
      <c r="F40">
        <v>163.327527</v>
      </c>
      <c r="G40">
        <v>175</v>
      </c>
      <c r="H40">
        <v>73.902842899999996</v>
      </c>
      <c r="I40">
        <v>3953.8613300000002</v>
      </c>
      <c r="J40" s="1">
        <v>7.2682765399999997E-22</v>
      </c>
      <c r="K40">
        <v>1.11204711</v>
      </c>
      <c r="L40">
        <v>48774.123800000001</v>
      </c>
      <c r="M40">
        <v>175</v>
      </c>
      <c r="N40">
        <v>75</v>
      </c>
      <c r="O40">
        <v>49750</v>
      </c>
      <c r="P40">
        <v>50000</v>
      </c>
      <c r="Q40">
        <v>4202.7641700000004</v>
      </c>
      <c r="R40">
        <v>48775.235800000002</v>
      </c>
      <c r="S40" s="3">
        <f t="shared" si="1"/>
        <v>100</v>
      </c>
      <c r="T40" s="3">
        <f t="shared" si="1"/>
        <v>98.537123866666661</v>
      </c>
    </row>
    <row r="41" spans="1:20" x14ac:dyDescent="0.3">
      <c r="A41">
        <v>38</v>
      </c>
      <c r="B41" t="s">
        <v>9</v>
      </c>
      <c r="D41">
        <v>5.6</v>
      </c>
      <c r="E41">
        <v>166.504662</v>
      </c>
      <c r="F41">
        <v>163.412858</v>
      </c>
      <c r="G41">
        <v>175</v>
      </c>
      <c r="H41">
        <v>74.113862600000004</v>
      </c>
      <c r="I41">
        <v>4148.8083399999996</v>
      </c>
      <c r="J41" s="1">
        <v>3.7256463800000002E-23</v>
      </c>
      <c r="K41">
        <v>0.90102739200000004</v>
      </c>
      <c r="L41">
        <v>48579.176800000001</v>
      </c>
      <c r="M41">
        <v>175</v>
      </c>
      <c r="N41">
        <v>75</v>
      </c>
      <c r="O41">
        <v>49750</v>
      </c>
      <c r="P41">
        <v>50000</v>
      </c>
      <c r="Q41">
        <v>4397.9222</v>
      </c>
      <c r="R41">
        <v>48580.077799999999</v>
      </c>
      <c r="S41" s="3">
        <f t="shared" si="1"/>
        <v>100</v>
      </c>
      <c r="T41" s="3">
        <f t="shared" si="1"/>
        <v>98.818483466666663</v>
      </c>
    </row>
    <row r="42" spans="1:20" x14ac:dyDescent="0.3">
      <c r="A42">
        <v>39</v>
      </c>
      <c r="B42" t="s">
        <v>9</v>
      </c>
      <c r="D42">
        <v>5.7</v>
      </c>
      <c r="E42">
        <v>166.50562099999999</v>
      </c>
      <c r="F42">
        <v>163.49082100000001</v>
      </c>
      <c r="G42">
        <v>175</v>
      </c>
      <c r="H42">
        <v>74.284372599999998</v>
      </c>
      <c r="I42">
        <v>4343.8573999999999</v>
      </c>
      <c r="J42" s="1">
        <v>7.8142323200000001E-25</v>
      </c>
      <c r="K42">
        <v>0.73051742799999997</v>
      </c>
      <c r="L42">
        <v>48384.127699999997</v>
      </c>
      <c r="M42">
        <v>175</v>
      </c>
      <c r="N42">
        <v>75</v>
      </c>
      <c r="O42">
        <v>49750</v>
      </c>
      <c r="P42">
        <v>50000</v>
      </c>
      <c r="Q42">
        <v>4593.1417700000002</v>
      </c>
      <c r="R42">
        <v>48384.858200000002</v>
      </c>
      <c r="S42" s="3">
        <f t="shared" si="1"/>
        <v>100</v>
      </c>
      <c r="T42" s="3">
        <f t="shared" si="1"/>
        <v>99.045830133333325</v>
      </c>
    </row>
    <row r="43" spans="1:20" x14ac:dyDescent="0.3">
      <c r="A43">
        <v>40</v>
      </c>
      <c r="B43" t="s">
        <v>9</v>
      </c>
      <c r="D43">
        <v>5.8</v>
      </c>
      <c r="E43">
        <v>166.50639799999999</v>
      </c>
      <c r="F43">
        <v>163.56229300000001</v>
      </c>
      <c r="G43">
        <v>175</v>
      </c>
      <c r="H43">
        <v>74.422114899999997</v>
      </c>
      <c r="I43">
        <v>4538.9938099999999</v>
      </c>
      <c r="J43" s="1">
        <v>3.8064993700000001E-22</v>
      </c>
      <c r="K43">
        <v>0.59277511100000002</v>
      </c>
      <c r="L43">
        <v>48188.991300000002</v>
      </c>
      <c r="M43">
        <v>175</v>
      </c>
      <c r="N43">
        <v>75</v>
      </c>
      <c r="O43">
        <v>49750</v>
      </c>
      <c r="P43">
        <v>50000</v>
      </c>
      <c r="Q43">
        <v>4788.4159300000001</v>
      </c>
      <c r="R43">
        <v>48189.5841</v>
      </c>
      <c r="S43" s="3">
        <f t="shared" si="1"/>
        <v>100</v>
      </c>
      <c r="T43" s="3">
        <f t="shared" si="1"/>
        <v>99.229486533333329</v>
      </c>
    </row>
    <row r="44" spans="1:20" x14ac:dyDescent="0.3">
      <c r="A44">
        <v>41</v>
      </c>
      <c r="B44" t="s">
        <v>9</v>
      </c>
      <c r="D44">
        <v>5.9</v>
      </c>
      <c r="E44">
        <v>166.50702899999999</v>
      </c>
      <c r="F44">
        <v>163.62801899999999</v>
      </c>
      <c r="G44">
        <v>175</v>
      </c>
      <c r="H44">
        <v>74.533396600000003</v>
      </c>
      <c r="I44">
        <v>4734.2052599999997</v>
      </c>
      <c r="J44" s="1">
        <v>6.8373223400000001E-22</v>
      </c>
      <c r="K44">
        <v>0.481493373</v>
      </c>
      <c r="L44">
        <v>47993.779799999997</v>
      </c>
      <c r="M44">
        <v>175</v>
      </c>
      <c r="N44">
        <v>75</v>
      </c>
      <c r="O44">
        <v>49750</v>
      </c>
      <c r="P44">
        <v>50000</v>
      </c>
      <c r="Q44">
        <v>4983.73866</v>
      </c>
      <c r="R44">
        <v>47994.261299999998</v>
      </c>
      <c r="S44" s="3">
        <f t="shared" si="1"/>
        <v>100</v>
      </c>
      <c r="T44" s="3">
        <f t="shared" si="1"/>
        <v>99.377862133333338</v>
      </c>
    </row>
    <row r="45" spans="1:20" x14ac:dyDescent="0.3">
      <c r="A45">
        <v>42</v>
      </c>
      <c r="B45" t="s">
        <v>9</v>
      </c>
      <c r="D45">
        <v>6</v>
      </c>
      <c r="E45">
        <v>166.50754000000001</v>
      </c>
      <c r="F45">
        <v>163.68863999999999</v>
      </c>
      <c r="G45">
        <v>175</v>
      </c>
      <c r="H45">
        <v>74.623334700000001</v>
      </c>
      <c r="I45">
        <v>4929.4814399999996</v>
      </c>
      <c r="J45" s="1">
        <v>6.7536131900000002E-22</v>
      </c>
      <c r="K45">
        <v>0.39155525099999999</v>
      </c>
      <c r="L45">
        <v>47798.503700000001</v>
      </c>
      <c r="M45">
        <v>175</v>
      </c>
      <c r="N45">
        <v>75</v>
      </c>
      <c r="O45">
        <v>49750</v>
      </c>
      <c r="P45">
        <v>50000</v>
      </c>
      <c r="Q45">
        <v>5179.1047799999997</v>
      </c>
      <c r="R45">
        <v>47798.895199999999</v>
      </c>
      <c r="S45" s="3">
        <f t="shared" si="1"/>
        <v>100</v>
      </c>
      <c r="T45" s="3">
        <f t="shared" si="1"/>
        <v>99.497779600000001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A5014-CFD7-4A6E-9008-314E53440066}">
  <dimension ref="A3:T45"/>
  <sheetViews>
    <sheetView workbookViewId="0">
      <selection activeCell="A4" sqref="A4:XFD4"/>
    </sheetView>
  </sheetViews>
  <sheetFormatPr defaultRowHeight="14.4" x14ac:dyDescent="0.3"/>
  <cols>
    <col min="1" max="1" width="9.6640625" bestFit="1" customWidth="1"/>
    <col min="2" max="2" width="6.44140625" bestFit="1" customWidth="1"/>
    <col min="3" max="3" width="11.33203125" bestFit="1" customWidth="1"/>
    <col min="4" max="12" width="11" bestFit="1" customWidth="1"/>
    <col min="13" max="13" width="11.33203125" customWidth="1"/>
    <col min="14" max="15" width="11" bestFit="1" customWidth="1"/>
    <col min="19" max="19" width="12" bestFit="1" customWidth="1"/>
  </cols>
  <sheetData>
    <row r="3" spans="1:20" ht="100.8" x14ac:dyDescent="0.3">
      <c r="A3" t="s">
        <v>0</v>
      </c>
      <c r="B3" t="s">
        <v>1</v>
      </c>
      <c r="C3" t="s">
        <v>2</v>
      </c>
      <c r="D3" s="2" t="s">
        <v>3</v>
      </c>
      <c r="E3" s="2" t="s">
        <v>4</v>
      </c>
      <c r="F3" s="2" t="s">
        <v>5</v>
      </c>
      <c r="G3" s="2" t="s">
        <v>10</v>
      </c>
      <c r="H3" s="2" t="s">
        <v>11</v>
      </c>
      <c r="I3" s="2" t="s">
        <v>15</v>
      </c>
      <c r="J3" s="2" t="s">
        <v>12</v>
      </c>
      <c r="K3" s="2" t="s">
        <v>13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6</v>
      </c>
      <c r="Q3" s="2" t="s">
        <v>7</v>
      </c>
      <c r="R3" s="2" t="s">
        <v>8</v>
      </c>
      <c r="S3" s="2" t="s">
        <v>14</v>
      </c>
      <c r="T3" s="2" t="s">
        <v>20</v>
      </c>
    </row>
    <row r="4" spans="1:20" x14ac:dyDescent="0.3">
      <c r="A4">
        <v>1</v>
      </c>
      <c r="B4" t="s">
        <v>62</v>
      </c>
      <c r="D4">
        <v>0.5</v>
      </c>
      <c r="E4">
        <v>138.60815099999999</v>
      </c>
      <c r="F4">
        <v>-34.473895200000001</v>
      </c>
      <c r="G4" s="1">
        <v>1.0038349200000001</v>
      </c>
      <c r="H4" s="1">
        <v>5.0154354499999998E-37</v>
      </c>
      <c r="I4" s="1">
        <v>5.3054317600000002E-37</v>
      </c>
      <c r="J4">
        <v>176.0446</v>
      </c>
      <c r="K4">
        <v>1495.8336400000001</v>
      </c>
      <c r="L4">
        <v>52653.305800000002</v>
      </c>
      <c r="M4">
        <v>175</v>
      </c>
      <c r="N4">
        <v>150</v>
      </c>
      <c r="O4">
        <v>49675</v>
      </c>
      <c r="P4">
        <v>50000</v>
      </c>
      <c r="Q4">
        <v>1.0038349200000001</v>
      </c>
      <c r="R4">
        <v>54325.184099999999</v>
      </c>
      <c r="S4" s="3">
        <f>100*G4/M4</f>
        <v>0.57361995428571433</v>
      </c>
      <c r="T4" s="3">
        <f>100*H4/N4</f>
        <v>3.3436236333333331E-37</v>
      </c>
    </row>
    <row r="5" spans="1:20" x14ac:dyDescent="0.3">
      <c r="A5">
        <v>2</v>
      </c>
      <c r="B5" t="s">
        <v>9</v>
      </c>
      <c r="D5">
        <v>2</v>
      </c>
      <c r="E5">
        <v>155.595305</v>
      </c>
      <c r="F5">
        <v>60.237072599999998</v>
      </c>
      <c r="G5">
        <v>75.425832799999995</v>
      </c>
      <c r="H5" s="1">
        <v>1.40425518E-3</v>
      </c>
      <c r="I5">
        <v>2.3206591400000001</v>
      </c>
      <c r="J5" s="1">
        <v>99.574167399999993</v>
      </c>
      <c r="K5">
        <v>150.013486</v>
      </c>
      <c r="L5">
        <v>52650.664499999999</v>
      </c>
      <c r="M5">
        <v>175</v>
      </c>
      <c r="N5">
        <v>150</v>
      </c>
      <c r="O5">
        <v>49675</v>
      </c>
      <c r="P5">
        <v>50000</v>
      </c>
      <c r="Q5">
        <v>77.7478962</v>
      </c>
      <c r="R5">
        <v>52900.252099999998</v>
      </c>
      <c r="S5" s="3">
        <f t="shared" ref="S5:T20" si="0">100*G5/M5</f>
        <v>43.100475885714282</v>
      </c>
      <c r="T5" s="3">
        <f t="shared" si="0"/>
        <v>9.3617012000000001E-4</v>
      </c>
    </row>
    <row r="6" spans="1:20" x14ac:dyDescent="0.3">
      <c r="A6">
        <v>3</v>
      </c>
      <c r="B6" t="s">
        <v>9</v>
      </c>
      <c r="D6">
        <v>2.1</v>
      </c>
      <c r="E6">
        <v>157.21551400000001</v>
      </c>
      <c r="F6">
        <v>60.2861093</v>
      </c>
      <c r="G6" s="1">
        <v>89.692161400000003</v>
      </c>
      <c r="H6" s="1">
        <v>1.75171958E-3</v>
      </c>
      <c r="I6">
        <v>2.76664866</v>
      </c>
      <c r="J6" s="1">
        <v>85.3078395</v>
      </c>
      <c r="K6">
        <v>150.013138</v>
      </c>
      <c r="L6">
        <v>52650.218500000003</v>
      </c>
      <c r="M6">
        <v>175</v>
      </c>
      <c r="N6">
        <v>150</v>
      </c>
      <c r="O6">
        <v>49675</v>
      </c>
      <c r="P6">
        <v>50000</v>
      </c>
      <c r="Q6">
        <v>92.4605617</v>
      </c>
      <c r="R6">
        <v>52885.539400000001</v>
      </c>
      <c r="S6" s="3">
        <f t="shared" si="0"/>
        <v>51.252663657142861</v>
      </c>
      <c r="T6" s="3">
        <f t="shared" si="0"/>
        <v>1.1678130533333332E-3</v>
      </c>
    </row>
    <row r="7" spans="1:20" x14ac:dyDescent="0.3">
      <c r="A7">
        <v>4</v>
      </c>
      <c r="B7" t="s">
        <v>9</v>
      </c>
      <c r="D7">
        <v>2.2000000000000002</v>
      </c>
      <c r="E7">
        <v>158.831569</v>
      </c>
      <c r="F7">
        <v>60.334427099999999</v>
      </c>
      <c r="G7" s="1">
        <v>104.550687</v>
      </c>
      <c r="H7" s="1">
        <v>2.15515201E-3</v>
      </c>
      <c r="I7" s="1">
        <v>3.2335045199999999</v>
      </c>
      <c r="J7" s="1">
        <v>70.449312800000001</v>
      </c>
      <c r="K7">
        <v>150.01273499999999</v>
      </c>
      <c r="L7">
        <v>52649.751600000003</v>
      </c>
      <c r="M7">
        <v>175</v>
      </c>
      <c r="N7">
        <v>150</v>
      </c>
      <c r="O7">
        <v>49675</v>
      </c>
      <c r="P7">
        <v>50000</v>
      </c>
      <c r="Q7" s="1">
        <v>107.78634700000001</v>
      </c>
      <c r="R7">
        <v>52870.2137</v>
      </c>
      <c r="S7" s="3">
        <f t="shared" si="0"/>
        <v>59.74324971428571</v>
      </c>
      <c r="T7" s="3">
        <f t="shared" si="0"/>
        <v>1.4367680066666665E-3</v>
      </c>
    </row>
    <row r="8" spans="1:20" x14ac:dyDescent="0.3">
      <c r="A8">
        <v>5</v>
      </c>
      <c r="B8" t="s">
        <v>9</v>
      </c>
      <c r="D8">
        <v>2.2999999999999998</v>
      </c>
      <c r="E8">
        <v>160.44445999999999</v>
      </c>
      <c r="F8">
        <v>60.385978100000003</v>
      </c>
      <c r="G8">
        <v>119.990627</v>
      </c>
      <c r="H8" s="1">
        <v>2.6272742300000001E-3</v>
      </c>
      <c r="I8">
        <v>3.7212510999999999</v>
      </c>
      <c r="J8" s="1">
        <v>55.009372900000002</v>
      </c>
      <c r="K8">
        <v>150.01226299999999</v>
      </c>
      <c r="L8">
        <v>52649.263899999998</v>
      </c>
      <c r="M8">
        <v>175</v>
      </c>
      <c r="N8">
        <v>150</v>
      </c>
      <c r="O8">
        <v>49675</v>
      </c>
      <c r="P8">
        <v>50000</v>
      </c>
      <c r="Q8">
        <v>123.714506</v>
      </c>
      <c r="R8">
        <v>52854.285499999998</v>
      </c>
      <c r="S8" s="3">
        <f t="shared" si="0"/>
        <v>68.566072571428577</v>
      </c>
      <c r="T8" s="3">
        <f t="shared" si="0"/>
        <v>1.7515161533333335E-3</v>
      </c>
    </row>
    <row r="9" spans="1:20" x14ac:dyDescent="0.3">
      <c r="A9">
        <v>6</v>
      </c>
      <c r="B9" t="s">
        <v>9</v>
      </c>
      <c r="D9">
        <v>2.4</v>
      </c>
      <c r="E9">
        <v>162.053921</v>
      </c>
      <c r="F9">
        <v>60.440209000000003</v>
      </c>
      <c r="G9">
        <v>136.03130200000001</v>
      </c>
      <c r="H9" s="1">
        <v>3.1847569099999998E-3</v>
      </c>
      <c r="I9">
        <v>4.2308016799999999</v>
      </c>
      <c r="J9" s="1">
        <v>38.9686983</v>
      </c>
      <c r="K9">
        <v>150.01170500000001</v>
      </c>
      <c r="L9">
        <v>52648.754300000001</v>
      </c>
      <c r="M9">
        <v>175</v>
      </c>
      <c r="N9">
        <v>150</v>
      </c>
      <c r="O9">
        <v>49675</v>
      </c>
      <c r="P9">
        <v>50000</v>
      </c>
      <c r="Q9">
        <v>140.265288</v>
      </c>
      <c r="R9">
        <v>52837.734700000001</v>
      </c>
      <c r="S9" s="3">
        <f t="shared" si="0"/>
        <v>77.732172571428578</v>
      </c>
      <c r="T9" s="3">
        <f t="shared" si="0"/>
        <v>2.1231712733333335E-3</v>
      </c>
    </row>
    <row r="10" spans="1:20" x14ac:dyDescent="0.3">
      <c r="A10">
        <v>7</v>
      </c>
      <c r="B10" t="s">
        <v>9</v>
      </c>
      <c r="D10">
        <v>2.5</v>
      </c>
      <c r="E10">
        <v>163.65959599999999</v>
      </c>
      <c r="F10">
        <v>60.497082499999998</v>
      </c>
      <c r="G10">
        <v>152.685024</v>
      </c>
      <c r="H10">
        <v>3.84795471E-3</v>
      </c>
      <c r="I10">
        <v>4.76286627</v>
      </c>
      <c r="J10" s="1">
        <v>22.314975700000002</v>
      </c>
      <c r="K10">
        <v>150.011042</v>
      </c>
      <c r="L10">
        <v>52648.222199999997</v>
      </c>
      <c r="M10">
        <v>175</v>
      </c>
      <c r="N10">
        <v>150</v>
      </c>
      <c r="O10">
        <v>49675</v>
      </c>
      <c r="P10">
        <v>50000</v>
      </c>
      <c r="Q10">
        <v>157.451739</v>
      </c>
      <c r="R10">
        <v>52820.548300000002</v>
      </c>
      <c r="S10" s="3">
        <f t="shared" si="0"/>
        <v>87.248585142857138</v>
      </c>
      <c r="T10" s="3">
        <f t="shared" si="0"/>
        <v>2.56530314E-3</v>
      </c>
    </row>
    <row r="11" spans="1:20" x14ac:dyDescent="0.3">
      <c r="A11">
        <v>8</v>
      </c>
      <c r="B11" t="s">
        <v>9</v>
      </c>
      <c r="D11">
        <v>2.6</v>
      </c>
      <c r="E11">
        <v>165.26184000000001</v>
      </c>
      <c r="F11">
        <v>60.557177199999998</v>
      </c>
      <c r="G11">
        <v>169.964271</v>
      </c>
      <c r="H11">
        <v>4.6418629499999997E-3</v>
      </c>
      <c r="I11">
        <v>5.3182183399999996</v>
      </c>
      <c r="J11" s="1">
        <v>5.03572854</v>
      </c>
      <c r="K11">
        <v>150.01024799999999</v>
      </c>
      <c r="L11">
        <v>52647.666899999997</v>
      </c>
      <c r="M11">
        <v>175</v>
      </c>
      <c r="N11">
        <v>150</v>
      </c>
      <c r="O11">
        <v>49675</v>
      </c>
      <c r="P11">
        <v>50000</v>
      </c>
      <c r="Q11">
        <v>175.28713200000001</v>
      </c>
      <c r="R11">
        <v>52802.712899999999</v>
      </c>
      <c r="S11" s="3">
        <f t="shared" si="0"/>
        <v>97.122440571428569</v>
      </c>
      <c r="T11" s="3">
        <f t="shared" si="0"/>
        <v>3.0945752999999997E-3</v>
      </c>
    </row>
    <row r="12" spans="1:20" x14ac:dyDescent="0.3">
      <c r="A12">
        <v>9</v>
      </c>
      <c r="B12" t="s">
        <v>9</v>
      </c>
      <c r="D12">
        <v>2.7</v>
      </c>
      <c r="E12">
        <v>165.72663600000001</v>
      </c>
      <c r="F12">
        <v>61.482213399999999</v>
      </c>
      <c r="G12">
        <v>174.99999800000001</v>
      </c>
      <c r="H12">
        <v>1.7677735000000001</v>
      </c>
      <c r="I12">
        <v>8.8109554600000006</v>
      </c>
      <c r="J12" s="1">
        <v>2.4910912499999998E-18</v>
      </c>
      <c r="K12">
        <v>148.247117</v>
      </c>
      <c r="L12">
        <v>52644.174200000001</v>
      </c>
      <c r="M12">
        <v>175</v>
      </c>
      <c r="N12">
        <v>150</v>
      </c>
      <c r="O12">
        <v>49675</v>
      </c>
      <c r="P12">
        <v>50000</v>
      </c>
      <c r="Q12">
        <v>185.57872699999999</v>
      </c>
      <c r="R12">
        <v>52792.421300000002</v>
      </c>
      <c r="S12" s="3">
        <f t="shared" si="0"/>
        <v>99.99999885714287</v>
      </c>
      <c r="T12" s="3">
        <f t="shared" si="0"/>
        <v>1.1785156666666667</v>
      </c>
    </row>
    <row r="13" spans="1:20" x14ac:dyDescent="0.3">
      <c r="A13">
        <v>10</v>
      </c>
      <c r="B13" t="s">
        <v>9</v>
      </c>
      <c r="D13">
        <v>2.8</v>
      </c>
      <c r="E13">
        <v>165.75839500000001</v>
      </c>
      <c r="F13">
        <v>62.723857000000002</v>
      </c>
      <c r="G13">
        <v>174.99999299999999</v>
      </c>
      <c r="H13">
        <v>7.7833557100000004</v>
      </c>
      <c r="I13">
        <v>11.2044785</v>
      </c>
      <c r="J13" s="1">
        <v>1.13034656E-17</v>
      </c>
      <c r="K13">
        <v>142.23153400000001</v>
      </c>
      <c r="L13">
        <v>52641.780599999998</v>
      </c>
      <c r="M13">
        <v>175</v>
      </c>
      <c r="N13">
        <v>150</v>
      </c>
      <c r="O13">
        <v>49675</v>
      </c>
      <c r="P13">
        <v>50000</v>
      </c>
      <c r="Q13">
        <v>193.98782700000001</v>
      </c>
      <c r="R13">
        <v>52784.012199999997</v>
      </c>
      <c r="S13" s="3">
        <f t="shared" si="0"/>
        <v>99.999995999999996</v>
      </c>
      <c r="T13" s="3">
        <f t="shared" si="0"/>
        <v>5.1889038066666675</v>
      </c>
    </row>
    <row r="14" spans="1:20" x14ac:dyDescent="0.3">
      <c r="A14">
        <v>11</v>
      </c>
      <c r="B14" t="s">
        <v>9</v>
      </c>
      <c r="D14">
        <v>2.9</v>
      </c>
      <c r="E14">
        <v>165.80025000000001</v>
      </c>
      <c r="F14">
        <v>65.022802200000001</v>
      </c>
      <c r="G14">
        <v>175.00000199999999</v>
      </c>
      <c r="H14">
        <v>15.7090766</v>
      </c>
      <c r="I14">
        <v>13.8255024</v>
      </c>
      <c r="J14" s="1">
        <v>9.6074023200000002E-18</v>
      </c>
      <c r="K14">
        <v>134.305813</v>
      </c>
      <c r="L14">
        <v>52639.159599999999</v>
      </c>
      <c r="M14">
        <v>175</v>
      </c>
      <c r="N14">
        <v>150</v>
      </c>
      <c r="O14">
        <v>49675</v>
      </c>
      <c r="P14">
        <v>50000</v>
      </c>
      <c r="Q14">
        <v>204.534581</v>
      </c>
      <c r="R14">
        <v>52773.465400000001</v>
      </c>
      <c r="S14" s="3">
        <f t="shared" si="0"/>
        <v>100.00000114285713</v>
      </c>
      <c r="T14" s="3">
        <f t="shared" si="0"/>
        <v>10.472717733333333</v>
      </c>
    </row>
    <row r="15" spans="1:20" x14ac:dyDescent="0.3">
      <c r="A15">
        <v>12</v>
      </c>
      <c r="B15" t="s">
        <v>9</v>
      </c>
      <c r="D15">
        <v>3</v>
      </c>
      <c r="E15">
        <v>165.84503100000001</v>
      </c>
      <c r="F15">
        <v>69.521738299999996</v>
      </c>
      <c r="G15">
        <v>175</v>
      </c>
      <c r="H15">
        <v>24.191255000000002</v>
      </c>
      <c r="I15">
        <v>17.747700500000001</v>
      </c>
      <c r="J15" s="1">
        <v>4.6517741199999999E-18</v>
      </c>
      <c r="K15">
        <v>125.823635</v>
      </c>
      <c r="L15">
        <v>52635.237399999998</v>
      </c>
      <c r="M15">
        <v>175</v>
      </c>
      <c r="N15">
        <v>150</v>
      </c>
      <c r="O15">
        <v>49675</v>
      </c>
      <c r="P15">
        <v>50000</v>
      </c>
      <c r="Q15">
        <v>216.93895499999999</v>
      </c>
      <c r="R15">
        <v>52761.061000000002</v>
      </c>
      <c r="S15" s="3">
        <f t="shared" si="0"/>
        <v>100</v>
      </c>
      <c r="T15" s="3">
        <f t="shared" si="0"/>
        <v>16.127503333333333</v>
      </c>
    </row>
    <row r="16" spans="1:20" x14ac:dyDescent="0.3">
      <c r="A16">
        <v>13</v>
      </c>
      <c r="B16" t="s">
        <v>9</v>
      </c>
      <c r="D16">
        <v>3.1</v>
      </c>
      <c r="E16">
        <v>165.89049199999999</v>
      </c>
      <c r="F16">
        <v>77.669331299999996</v>
      </c>
      <c r="G16">
        <v>174.99994799999999</v>
      </c>
      <c r="H16">
        <v>32.807412200000002</v>
      </c>
      <c r="I16">
        <v>24.381119099999999</v>
      </c>
      <c r="J16" s="1">
        <v>2.31527539E-18</v>
      </c>
      <c r="K16">
        <v>117.20748</v>
      </c>
      <c r="L16">
        <v>52628.603999999999</v>
      </c>
      <c r="M16">
        <v>175</v>
      </c>
      <c r="N16">
        <v>150</v>
      </c>
      <c r="O16">
        <v>49675</v>
      </c>
      <c r="P16">
        <v>50000</v>
      </c>
      <c r="Q16">
        <v>232.188479</v>
      </c>
      <c r="R16">
        <v>52745.811500000003</v>
      </c>
      <c r="S16" s="3">
        <f t="shared" si="0"/>
        <v>99.999970285714284</v>
      </c>
      <c r="T16" s="3">
        <f t="shared" si="0"/>
        <v>21.871608133333336</v>
      </c>
    </row>
    <row r="17" spans="1:20" x14ac:dyDescent="0.3">
      <c r="A17">
        <v>14</v>
      </c>
      <c r="B17" t="s">
        <v>9</v>
      </c>
      <c r="D17">
        <v>3.2</v>
      </c>
      <c r="E17">
        <v>165.93593300000001</v>
      </c>
      <c r="F17">
        <v>90.266408900000002</v>
      </c>
      <c r="G17">
        <v>174.99998199999999</v>
      </c>
      <c r="H17">
        <v>41.429720600000003</v>
      </c>
      <c r="I17">
        <v>36.745547999999999</v>
      </c>
      <c r="J17" s="1">
        <v>1.3071801099999999E-18</v>
      </c>
      <c r="K17">
        <v>108.585167</v>
      </c>
      <c r="L17">
        <v>52616.239600000001</v>
      </c>
      <c r="M17">
        <v>175</v>
      </c>
      <c r="N17">
        <v>150</v>
      </c>
      <c r="O17">
        <v>49675</v>
      </c>
      <c r="P17">
        <v>50000</v>
      </c>
      <c r="Q17">
        <v>253.17525000000001</v>
      </c>
      <c r="R17">
        <v>52724.824699999997</v>
      </c>
      <c r="S17" s="3">
        <f t="shared" si="0"/>
        <v>99.999989714285704</v>
      </c>
      <c r="T17" s="3">
        <f t="shared" si="0"/>
        <v>27.619813733333334</v>
      </c>
    </row>
    <row r="18" spans="1:20" x14ac:dyDescent="0.3">
      <c r="A18">
        <v>15</v>
      </c>
      <c r="B18" t="s">
        <v>9</v>
      </c>
      <c r="D18">
        <v>3.3</v>
      </c>
      <c r="E18">
        <v>165.981178</v>
      </c>
      <c r="F18">
        <v>106.81984799999999</v>
      </c>
      <c r="G18">
        <v>175.00000299999999</v>
      </c>
      <c r="H18">
        <v>50.036193300000001</v>
      </c>
      <c r="I18">
        <v>62.229484399999997</v>
      </c>
      <c r="J18" s="1">
        <v>7.2187715599999996E-19</v>
      </c>
      <c r="K18">
        <v>99.978695500000001</v>
      </c>
      <c r="L18">
        <v>52590.755599999997</v>
      </c>
      <c r="M18">
        <v>175</v>
      </c>
      <c r="N18">
        <v>150</v>
      </c>
      <c r="O18">
        <v>49675</v>
      </c>
      <c r="P18">
        <v>50000</v>
      </c>
      <c r="Q18">
        <v>287.26567999999997</v>
      </c>
      <c r="R18">
        <v>52690.734299999996</v>
      </c>
      <c r="S18" s="3">
        <f t="shared" si="0"/>
        <v>100.00000171428572</v>
      </c>
      <c r="T18" s="3">
        <f t="shared" si="0"/>
        <v>33.357462200000001</v>
      </c>
    </row>
    <row r="19" spans="1:20" x14ac:dyDescent="0.3">
      <c r="A19">
        <v>16</v>
      </c>
      <c r="B19" t="s">
        <v>9</v>
      </c>
      <c r="D19">
        <v>3.4</v>
      </c>
      <c r="E19">
        <v>166.026431</v>
      </c>
      <c r="F19">
        <v>124.84451900000001</v>
      </c>
      <c r="G19">
        <v>174.999999</v>
      </c>
      <c r="H19">
        <v>58.6896585</v>
      </c>
      <c r="I19">
        <v>118.25421900000001</v>
      </c>
      <c r="J19" s="1">
        <v>4.6888655700000002E-19</v>
      </c>
      <c r="K19">
        <v>91.325231900000006</v>
      </c>
      <c r="L19">
        <v>52534.730900000002</v>
      </c>
      <c r="M19">
        <v>175</v>
      </c>
      <c r="N19">
        <v>150</v>
      </c>
      <c r="O19">
        <v>49675</v>
      </c>
      <c r="P19">
        <v>50000</v>
      </c>
      <c r="Q19">
        <v>351.94387699999999</v>
      </c>
      <c r="R19">
        <v>52626.056100000002</v>
      </c>
      <c r="S19" s="3">
        <f t="shared" si="0"/>
        <v>99.999999428571428</v>
      </c>
      <c r="T19" s="3">
        <f t="shared" si="0"/>
        <v>39.126438999999998</v>
      </c>
    </row>
    <row r="20" spans="1:20" x14ac:dyDescent="0.3">
      <c r="A20">
        <v>17</v>
      </c>
      <c r="B20" t="s">
        <v>9</v>
      </c>
      <c r="D20">
        <v>3.5</v>
      </c>
      <c r="E20">
        <v>166.07193799999999</v>
      </c>
      <c r="F20">
        <v>138.893079</v>
      </c>
      <c r="G20">
        <v>174.999978</v>
      </c>
      <c r="H20">
        <v>67.450504499999994</v>
      </c>
      <c r="I20">
        <v>223.49991399999999</v>
      </c>
      <c r="J20" s="1">
        <v>2.7003666199999999E-19</v>
      </c>
      <c r="K20">
        <v>82.564384899999993</v>
      </c>
      <c r="L20">
        <v>52429.485200000003</v>
      </c>
      <c r="M20">
        <v>175</v>
      </c>
      <c r="N20">
        <v>150</v>
      </c>
      <c r="O20">
        <v>49675</v>
      </c>
      <c r="P20">
        <v>50000</v>
      </c>
      <c r="Q20">
        <v>465.95039600000001</v>
      </c>
      <c r="R20">
        <v>52512.049599999998</v>
      </c>
      <c r="S20" s="3">
        <f t="shared" si="0"/>
        <v>99.99998742857143</v>
      </c>
      <c r="T20" s="3">
        <f t="shared" si="0"/>
        <v>44.967002999999998</v>
      </c>
    </row>
    <row r="21" spans="1:20" x14ac:dyDescent="0.3">
      <c r="A21">
        <v>18</v>
      </c>
      <c r="B21" t="s">
        <v>9</v>
      </c>
      <c r="D21">
        <v>3.6</v>
      </c>
      <c r="E21">
        <v>166.117085</v>
      </c>
      <c r="F21">
        <v>146.992526</v>
      </c>
      <c r="G21">
        <v>175.000001</v>
      </c>
      <c r="H21">
        <v>76.1652615</v>
      </c>
      <c r="I21">
        <v>367.93437899999998</v>
      </c>
      <c r="J21" s="1">
        <v>9.9260077000000005E-20</v>
      </c>
      <c r="K21">
        <v>73.849628300000006</v>
      </c>
      <c r="L21">
        <v>52285.0507</v>
      </c>
      <c r="M21">
        <v>175</v>
      </c>
      <c r="N21">
        <v>150</v>
      </c>
      <c r="O21">
        <v>49675</v>
      </c>
      <c r="P21">
        <v>50000</v>
      </c>
      <c r="Q21">
        <v>619.09964100000002</v>
      </c>
      <c r="R21">
        <v>52358.900399999999</v>
      </c>
      <c r="S21" s="3">
        <f t="shared" ref="S21:T46" si="1">100*G21/M21</f>
        <v>100.00000057142857</v>
      </c>
      <c r="T21" s="3">
        <f t="shared" si="1"/>
        <v>50.776840999999997</v>
      </c>
    </row>
    <row r="22" spans="1:20" x14ac:dyDescent="0.3">
      <c r="A22">
        <v>19</v>
      </c>
      <c r="B22" t="s">
        <v>9</v>
      </c>
      <c r="D22">
        <v>3.7</v>
      </c>
      <c r="E22">
        <v>166.16092699999999</v>
      </c>
      <c r="F22">
        <v>151.48144300000001</v>
      </c>
      <c r="G22">
        <v>175</v>
      </c>
      <c r="H22">
        <v>84.612863700000005</v>
      </c>
      <c r="I22">
        <v>531.52759700000001</v>
      </c>
      <c r="J22" s="1">
        <v>1.23855808E-19</v>
      </c>
      <c r="K22">
        <v>65.402026300000003</v>
      </c>
      <c r="L22">
        <v>52121.457499999997</v>
      </c>
      <c r="M22">
        <v>175</v>
      </c>
      <c r="N22">
        <v>150</v>
      </c>
      <c r="O22">
        <v>49675</v>
      </c>
      <c r="P22">
        <v>50000</v>
      </c>
      <c r="Q22">
        <v>791.14046099999996</v>
      </c>
      <c r="R22">
        <v>52186.859499999999</v>
      </c>
      <c r="S22" s="3">
        <f t="shared" si="1"/>
        <v>100</v>
      </c>
      <c r="T22" s="3">
        <f t="shared" si="1"/>
        <v>56.408575800000001</v>
      </c>
    </row>
    <row r="23" spans="1:20" x14ac:dyDescent="0.3">
      <c r="A23">
        <v>20</v>
      </c>
      <c r="B23" t="s">
        <v>9</v>
      </c>
      <c r="D23">
        <v>3.8</v>
      </c>
      <c r="E23">
        <v>166.20277300000001</v>
      </c>
      <c r="F23">
        <v>154.186633</v>
      </c>
      <c r="G23">
        <v>175</v>
      </c>
      <c r="H23">
        <v>92.646124200000003</v>
      </c>
      <c r="I23">
        <v>704.06807100000003</v>
      </c>
      <c r="J23" s="1">
        <v>5.4191088399999997E-20</v>
      </c>
      <c r="K23">
        <v>57.368765799999998</v>
      </c>
      <c r="L23">
        <v>51948.917000000001</v>
      </c>
      <c r="M23">
        <v>175</v>
      </c>
      <c r="N23">
        <v>150</v>
      </c>
      <c r="O23">
        <v>49675</v>
      </c>
      <c r="P23">
        <v>50000</v>
      </c>
      <c r="Q23">
        <v>971.71419500000002</v>
      </c>
      <c r="R23">
        <v>52006.285799999998</v>
      </c>
      <c r="S23" s="3">
        <f t="shared" si="1"/>
        <v>100</v>
      </c>
      <c r="T23" s="3">
        <f t="shared" si="1"/>
        <v>61.764082799999997</v>
      </c>
    </row>
    <row r="24" spans="1:20" x14ac:dyDescent="0.3">
      <c r="A24">
        <v>21</v>
      </c>
      <c r="B24" t="s">
        <v>9</v>
      </c>
      <c r="D24">
        <v>3.9</v>
      </c>
      <c r="E24">
        <v>166.242118</v>
      </c>
      <c r="F24">
        <v>155.96824899999999</v>
      </c>
      <c r="G24">
        <v>175</v>
      </c>
      <c r="H24">
        <v>100.167074</v>
      </c>
      <c r="I24">
        <v>881.44269299999996</v>
      </c>
      <c r="J24" s="1">
        <v>3.8217096399999997E-20</v>
      </c>
      <c r="K24">
        <v>49.847815599999997</v>
      </c>
      <c r="L24">
        <v>51771.542399999998</v>
      </c>
      <c r="M24">
        <v>175</v>
      </c>
      <c r="N24">
        <v>150</v>
      </c>
      <c r="O24">
        <v>49675</v>
      </c>
      <c r="P24">
        <v>50000</v>
      </c>
      <c r="Q24">
        <v>1156.60977</v>
      </c>
      <c r="R24">
        <v>51821.390200000002</v>
      </c>
      <c r="S24" s="3">
        <f t="shared" si="1"/>
        <v>100</v>
      </c>
      <c r="T24" s="3">
        <f t="shared" si="1"/>
        <v>66.778049333333328</v>
      </c>
    </row>
    <row r="25" spans="1:20" x14ac:dyDescent="0.3">
      <c r="A25">
        <v>22</v>
      </c>
      <c r="B25" t="s">
        <v>9</v>
      </c>
      <c r="D25">
        <v>4</v>
      </c>
      <c r="E25">
        <v>166.27857700000001</v>
      </c>
      <c r="F25">
        <v>157.22823500000001</v>
      </c>
      <c r="G25">
        <v>175</v>
      </c>
      <c r="H25">
        <v>107.105081</v>
      </c>
      <c r="I25">
        <v>1061.8867700000001</v>
      </c>
      <c r="J25" s="1">
        <v>1.96981405E-20</v>
      </c>
      <c r="K25">
        <v>42.909809500000001</v>
      </c>
      <c r="L25">
        <v>51591.098299999998</v>
      </c>
      <c r="M25">
        <v>175</v>
      </c>
      <c r="N25">
        <v>150</v>
      </c>
      <c r="O25">
        <v>49675</v>
      </c>
      <c r="P25">
        <v>50000</v>
      </c>
      <c r="Q25">
        <v>1343.9918500000001</v>
      </c>
      <c r="R25">
        <v>51634.008199999997</v>
      </c>
      <c r="S25" s="3">
        <f t="shared" si="1"/>
        <v>100</v>
      </c>
      <c r="T25" s="3">
        <f t="shared" si="1"/>
        <v>71.403387333333328</v>
      </c>
    </row>
    <row r="26" spans="1:20" x14ac:dyDescent="0.3">
      <c r="A26">
        <v>23</v>
      </c>
      <c r="B26" t="s">
        <v>9</v>
      </c>
      <c r="D26">
        <v>4.0999999999999996</v>
      </c>
      <c r="E26">
        <v>166.31186299999999</v>
      </c>
      <c r="F26">
        <v>158.16982300000001</v>
      </c>
      <c r="G26">
        <v>174.99999600000001</v>
      </c>
      <c r="H26">
        <v>113.41094200000001</v>
      </c>
      <c r="I26">
        <v>1244.5586900000001</v>
      </c>
      <c r="J26" s="1">
        <v>1.3306328200000001E-23</v>
      </c>
      <c r="K26">
        <v>36.603948799999998</v>
      </c>
      <c r="L26">
        <v>51408.426399999997</v>
      </c>
      <c r="M26">
        <v>175</v>
      </c>
      <c r="N26">
        <v>150</v>
      </c>
      <c r="O26">
        <v>49675</v>
      </c>
      <c r="P26">
        <v>50000</v>
      </c>
      <c r="Q26">
        <v>1532.9696200000001</v>
      </c>
      <c r="R26">
        <v>51445.030400000003</v>
      </c>
      <c r="S26" s="3">
        <f t="shared" si="1"/>
        <v>99.999997714285726</v>
      </c>
      <c r="T26" s="3">
        <f t="shared" si="1"/>
        <v>75.607294666666675</v>
      </c>
    </row>
    <row r="27" spans="1:20" x14ac:dyDescent="0.3">
      <c r="A27">
        <v>24</v>
      </c>
      <c r="B27" t="s">
        <v>9</v>
      </c>
      <c r="D27">
        <v>4.2</v>
      </c>
      <c r="E27">
        <v>166.341812</v>
      </c>
      <c r="F27">
        <v>158.90413899999999</v>
      </c>
      <c r="G27">
        <v>174.99999800000001</v>
      </c>
      <c r="H27">
        <v>119.059799</v>
      </c>
      <c r="I27">
        <v>1428.9972600000001</v>
      </c>
      <c r="J27" s="1">
        <v>6.0535438300000003E-24</v>
      </c>
      <c r="K27">
        <v>30.955091199999998</v>
      </c>
      <c r="L27">
        <v>51223.9879</v>
      </c>
      <c r="M27">
        <v>175</v>
      </c>
      <c r="N27">
        <v>150</v>
      </c>
      <c r="O27">
        <v>49675</v>
      </c>
      <c r="P27">
        <v>50000</v>
      </c>
      <c r="Q27">
        <v>1723.0570600000001</v>
      </c>
      <c r="R27">
        <v>51254.942900000002</v>
      </c>
      <c r="S27" s="3">
        <f t="shared" si="1"/>
        <v>99.99999885714287</v>
      </c>
      <c r="T27" s="3">
        <f t="shared" si="1"/>
        <v>79.373199333333332</v>
      </c>
    </row>
    <row r="28" spans="1:20" x14ac:dyDescent="0.3">
      <c r="A28">
        <v>25</v>
      </c>
      <c r="B28" t="s">
        <v>9</v>
      </c>
      <c r="D28">
        <v>4.3</v>
      </c>
      <c r="E28">
        <v>166.368369</v>
      </c>
      <c r="F28">
        <v>159.496307</v>
      </c>
      <c r="G28">
        <v>174.99999800000001</v>
      </c>
      <c r="H28">
        <v>124.047121</v>
      </c>
      <c r="I28">
        <v>1614.9303</v>
      </c>
      <c r="J28" s="1">
        <v>5.2108539199999997E-21</v>
      </c>
      <c r="K28">
        <v>25.967768800000002</v>
      </c>
      <c r="L28">
        <v>51038.054799999998</v>
      </c>
      <c r="M28">
        <v>175</v>
      </c>
      <c r="N28">
        <v>150</v>
      </c>
      <c r="O28">
        <v>49675</v>
      </c>
      <c r="P28">
        <v>50000</v>
      </c>
      <c r="Q28">
        <v>1913.9774199999999</v>
      </c>
      <c r="R28">
        <v>51064.022599999997</v>
      </c>
      <c r="S28" s="3">
        <f t="shared" si="1"/>
        <v>99.99999885714287</v>
      </c>
      <c r="T28" s="3">
        <f t="shared" si="1"/>
        <v>82.698080666666669</v>
      </c>
    </row>
    <row r="29" spans="1:20" x14ac:dyDescent="0.3">
      <c r="A29">
        <v>26</v>
      </c>
      <c r="B29" t="s">
        <v>9</v>
      </c>
      <c r="D29">
        <v>4.4000000000000004</v>
      </c>
      <c r="E29">
        <v>166.391593</v>
      </c>
      <c r="F29">
        <v>159.98652100000001</v>
      </c>
      <c r="G29">
        <v>174.999999</v>
      </c>
      <c r="H29">
        <v>128.389849</v>
      </c>
      <c r="I29">
        <v>1802.1643999999999</v>
      </c>
      <c r="J29" s="1">
        <v>1.9609869499999999E-19</v>
      </c>
      <c r="K29">
        <v>21.625041</v>
      </c>
      <c r="L29">
        <v>50850.820699999997</v>
      </c>
      <c r="M29">
        <v>175</v>
      </c>
      <c r="N29">
        <v>150</v>
      </c>
      <c r="O29">
        <v>49675</v>
      </c>
      <c r="P29">
        <v>50000</v>
      </c>
      <c r="Q29">
        <v>2105.5542500000001</v>
      </c>
      <c r="R29">
        <v>50872.445800000001</v>
      </c>
      <c r="S29" s="3">
        <f t="shared" si="1"/>
        <v>99.999999428571428</v>
      </c>
      <c r="T29" s="3">
        <f t="shared" si="1"/>
        <v>85.593232666666665</v>
      </c>
    </row>
    <row r="30" spans="1:20" x14ac:dyDescent="0.3">
      <c r="A30">
        <v>27</v>
      </c>
      <c r="B30" t="s">
        <v>9</v>
      </c>
      <c r="D30">
        <v>4.5</v>
      </c>
      <c r="E30">
        <v>166.41163800000001</v>
      </c>
      <c r="F30">
        <v>160.40075300000001</v>
      </c>
      <c r="G30">
        <v>174.999999</v>
      </c>
      <c r="H30">
        <v>132.122714</v>
      </c>
      <c r="I30">
        <v>1990.5453</v>
      </c>
      <c r="J30" s="1">
        <v>1.9741913300000001E-19</v>
      </c>
      <c r="K30">
        <v>17.8921758</v>
      </c>
      <c r="L30">
        <v>50662.4398</v>
      </c>
      <c r="M30">
        <v>175</v>
      </c>
      <c r="N30">
        <v>150</v>
      </c>
      <c r="O30">
        <v>49675</v>
      </c>
      <c r="P30">
        <v>50000</v>
      </c>
      <c r="Q30">
        <v>2297.6680099999999</v>
      </c>
      <c r="R30">
        <v>50680.332000000002</v>
      </c>
      <c r="S30" s="3">
        <f t="shared" si="1"/>
        <v>99.999999428571428</v>
      </c>
      <c r="T30" s="3">
        <f t="shared" si="1"/>
        <v>88.081809333333325</v>
      </c>
    </row>
    <row r="31" spans="1:20" x14ac:dyDescent="0.3">
      <c r="A31">
        <v>28</v>
      </c>
      <c r="B31" t="s">
        <v>9</v>
      </c>
      <c r="D31">
        <v>4.5999999999999996</v>
      </c>
      <c r="E31">
        <v>166.42873700000001</v>
      </c>
      <c r="F31">
        <v>160.75645800000001</v>
      </c>
      <c r="G31">
        <v>175</v>
      </c>
      <c r="H31">
        <v>135.293815</v>
      </c>
      <c r="I31">
        <v>2179.93831</v>
      </c>
      <c r="J31" s="1">
        <v>1.27888631E-24</v>
      </c>
      <c r="K31">
        <v>14.7210748</v>
      </c>
      <c r="L31">
        <v>50473.046799999996</v>
      </c>
      <c r="M31">
        <v>175</v>
      </c>
      <c r="N31">
        <v>150</v>
      </c>
      <c r="O31">
        <v>49675</v>
      </c>
      <c r="P31">
        <v>50000</v>
      </c>
      <c r="Q31">
        <v>2490.2321200000001</v>
      </c>
      <c r="R31">
        <v>50487.767899999999</v>
      </c>
      <c r="S31" s="3">
        <f t="shared" si="1"/>
        <v>100</v>
      </c>
      <c r="T31" s="3">
        <f t="shared" si="1"/>
        <v>90.195876666666663</v>
      </c>
    </row>
    <row r="32" spans="1:20" x14ac:dyDescent="0.3">
      <c r="A32">
        <v>29</v>
      </c>
      <c r="B32" t="s">
        <v>9</v>
      </c>
      <c r="D32">
        <v>4.7</v>
      </c>
      <c r="E32">
        <v>166.44316900000001</v>
      </c>
      <c r="F32">
        <v>161.06578999999999</v>
      </c>
      <c r="G32">
        <v>175</v>
      </c>
      <c r="H32">
        <v>137.959678</v>
      </c>
      <c r="I32">
        <v>2370.2203399999999</v>
      </c>
      <c r="J32" s="1">
        <v>1.6934159399999999E-24</v>
      </c>
      <c r="K32">
        <v>12.0552116</v>
      </c>
      <c r="L32">
        <v>50282.764799999997</v>
      </c>
      <c r="M32">
        <v>175</v>
      </c>
      <c r="N32">
        <v>150</v>
      </c>
      <c r="O32">
        <v>49675</v>
      </c>
      <c r="P32">
        <v>50000</v>
      </c>
      <c r="Q32">
        <v>2683.1800199999998</v>
      </c>
      <c r="R32">
        <v>50294.82</v>
      </c>
      <c r="S32" s="3">
        <f t="shared" si="1"/>
        <v>100</v>
      </c>
      <c r="T32" s="3">
        <f t="shared" si="1"/>
        <v>91.973118666666664</v>
      </c>
    </row>
    <row r="33" spans="1:20" x14ac:dyDescent="0.3">
      <c r="A33">
        <v>30</v>
      </c>
      <c r="B33" t="s">
        <v>9</v>
      </c>
      <c r="D33">
        <v>4.8</v>
      </c>
      <c r="E33">
        <v>166.45524</v>
      </c>
      <c r="F33">
        <v>161.337501</v>
      </c>
      <c r="G33">
        <v>175</v>
      </c>
      <c r="H33">
        <v>140.180567</v>
      </c>
      <c r="I33">
        <v>2561.2775900000001</v>
      </c>
      <c r="J33" s="1">
        <v>5.1624943800000001E-20</v>
      </c>
      <c r="K33">
        <v>9.8343231699999993</v>
      </c>
      <c r="L33">
        <v>50091.707499999997</v>
      </c>
      <c r="M33">
        <v>175</v>
      </c>
      <c r="N33">
        <v>150</v>
      </c>
      <c r="O33">
        <v>49675</v>
      </c>
      <c r="P33">
        <v>50000</v>
      </c>
      <c r="Q33">
        <v>2876.4581499999999</v>
      </c>
      <c r="R33">
        <v>50101.541799999999</v>
      </c>
      <c r="S33" s="3">
        <f t="shared" si="1"/>
        <v>100</v>
      </c>
      <c r="T33" s="3">
        <f t="shared" si="1"/>
        <v>93.453711333333331</v>
      </c>
    </row>
    <row r="34" spans="1:20" x14ac:dyDescent="0.3">
      <c r="A34">
        <v>31</v>
      </c>
      <c r="B34" t="s">
        <v>9</v>
      </c>
      <c r="D34">
        <v>4.9000000000000004</v>
      </c>
      <c r="E34">
        <v>166.465259</v>
      </c>
      <c r="F34">
        <v>161.578093</v>
      </c>
      <c r="G34">
        <v>175</v>
      </c>
      <c r="H34">
        <v>142.016569</v>
      </c>
      <c r="I34">
        <v>2753.0054500000001</v>
      </c>
      <c r="J34" s="1">
        <v>2.9576140899999998E-22</v>
      </c>
      <c r="K34">
        <v>7.9983214299999998</v>
      </c>
      <c r="L34">
        <v>49899.979700000004</v>
      </c>
      <c r="M34">
        <v>175</v>
      </c>
      <c r="N34">
        <v>150</v>
      </c>
      <c r="O34">
        <v>49675</v>
      </c>
      <c r="P34">
        <v>50000</v>
      </c>
      <c r="Q34">
        <v>3070.0220199999999</v>
      </c>
      <c r="R34">
        <v>49907.978000000003</v>
      </c>
      <c r="S34" s="3">
        <f t="shared" si="1"/>
        <v>100</v>
      </c>
      <c r="T34" s="3">
        <f t="shared" si="1"/>
        <v>94.677712666666665</v>
      </c>
    </row>
    <row r="35" spans="1:20" x14ac:dyDescent="0.3">
      <c r="A35">
        <v>32</v>
      </c>
      <c r="B35" t="s">
        <v>9</v>
      </c>
      <c r="D35">
        <v>5</v>
      </c>
      <c r="E35">
        <v>166.473522</v>
      </c>
      <c r="F35">
        <v>161.79253800000001</v>
      </c>
      <c r="G35">
        <v>175</v>
      </c>
      <c r="H35">
        <v>143.52471499999999</v>
      </c>
      <c r="I35">
        <v>2945.3092099999999</v>
      </c>
      <c r="J35" s="1">
        <v>7.92307285E-25</v>
      </c>
      <c r="K35">
        <v>6.49017467</v>
      </c>
      <c r="L35">
        <v>49707.675900000002</v>
      </c>
      <c r="M35">
        <v>175</v>
      </c>
      <c r="N35">
        <v>150</v>
      </c>
      <c r="O35">
        <v>49675</v>
      </c>
      <c r="P35">
        <v>50000</v>
      </c>
      <c r="Q35">
        <v>3263.83392</v>
      </c>
      <c r="R35">
        <v>49714.166100000002</v>
      </c>
      <c r="S35" s="3">
        <f t="shared" si="1"/>
        <v>100</v>
      </c>
      <c r="T35" s="3">
        <f t="shared" si="1"/>
        <v>95.683143333333319</v>
      </c>
    </row>
    <row r="36" spans="1:20" x14ac:dyDescent="0.3">
      <c r="A36">
        <v>33</v>
      </c>
      <c r="B36" t="s">
        <v>9</v>
      </c>
      <c r="D36">
        <v>5.0999999999999996</v>
      </c>
      <c r="E36">
        <v>166.480299</v>
      </c>
      <c r="F36">
        <v>161.984737</v>
      </c>
      <c r="G36">
        <v>175</v>
      </c>
      <c r="H36">
        <v>144.757137</v>
      </c>
      <c r="I36">
        <v>3138.1044200000001</v>
      </c>
      <c r="J36" s="1">
        <v>1.9292928600000001E-25</v>
      </c>
      <c r="K36">
        <v>5.2577534500000001</v>
      </c>
      <c r="L36">
        <v>49514.880700000002</v>
      </c>
      <c r="M36">
        <v>175</v>
      </c>
      <c r="N36">
        <v>150</v>
      </c>
      <c r="O36">
        <v>49675</v>
      </c>
      <c r="P36">
        <v>50000</v>
      </c>
      <c r="Q36">
        <v>3457.8615500000001</v>
      </c>
      <c r="R36">
        <v>49520.138400000003</v>
      </c>
      <c r="S36" s="3">
        <f t="shared" si="1"/>
        <v>100</v>
      </c>
      <c r="T36" s="3">
        <f t="shared" si="1"/>
        <v>96.504757999999995</v>
      </c>
    </row>
    <row r="37" spans="1:20" x14ac:dyDescent="0.3">
      <c r="A37">
        <v>34</v>
      </c>
      <c r="B37" t="s">
        <v>9</v>
      </c>
      <c r="D37">
        <v>5.2</v>
      </c>
      <c r="E37">
        <v>166.485837</v>
      </c>
      <c r="F37">
        <v>162.15781899999999</v>
      </c>
      <c r="G37">
        <v>175</v>
      </c>
      <c r="H37">
        <v>145.76010299999999</v>
      </c>
      <c r="I37">
        <v>3331.3170100000002</v>
      </c>
      <c r="J37" s="1">
        <v>1.9237804599999999E-31</v>
      </c>
      <c r="K37">
        <v>4.25478691</v>
      </c>
      <c r="L37">
        <v>49321.668100000003</v>
      </c>
      <c r="M37">
        <v>175</v>
      </c>
      <c r="N37">
        <v>150</v>
      </c>
      <c r="O37">
        <v>49675</v>
      </c>
      <c r="P37">
        <v>50000</v>
      </c>
      <c r="Q37">
        <v>3652.0771100000002</v>
      </c>
      <c r="R37">
        <v>49325.922899999998</v>
      </c>
      <c r="S37" s="3">
        <f t="shared" si="1"/>
        <v>100</v>
      </c>
      <c r="T37" s="3">
        <f t="shared" si="1"/>
        <v>97.173401999999982</v>
      </c>
    </row>
    <row r="38" spans="1:20" x14ac:dyDescent="0.3">
      <c r="A38">
        <v>35</v>
      </c>
      <c r="B38" t="s">
        <v>9</v>
      </c>
      <c r="D38">
        <v>5.3</v>
      </c>
      <c r="E38">
        <v>166.49034599999999</v>
      </c>
      <c r="F38">
        <v>162.31434100000001</v>
      </c>
      <c r="G38">
        <v>175</v>
      </c>
      <c r="H38">
        <v>146.57374899999999</v>
      </c>
      <c r="I38">
        <v>3524.8828899999999</v>
      </c>
      <c r="J38" s="1">
        <v>1.8767662900000001E-25</v>
      </c>
      <c r="K38">
        <v>3.4411410400000002</v>
      </c>
      <c r="L38">
        <v>49128.102200000001</v>
      </c>
      <c r="M38">
        <v>175</v>
      </c>
      <c r="N38">
        <v>150</v>
      </c>
      <c r="O38">
        <v>49675</v>
      </c>
      <c r="P38">
        <v>50000</v>
      </c>
      <c r="Q38">
        <v>3846.4566399999999</v>
      </c>
      <c r="R38">
        <v>49131.543400000002</v>
      </c>
      <c r="S38" s="3">
        <f t="shared" si="1"/>
        <v>100</v>
      </c>
      <c r="T38" s="3">
        <f t="shared" si="1"/>
        <v>97.715832666666657</v>
      </c>
    </row>
    <row r="39" spans="1:20" x14ac:dyDescent="0.3">
      <c r="A39">
        <v>36</v>
      </c>
      <c r="B39" t="s">
        <v>9</v>
      </c>
      <c r="D39">
        <v>5.4</v>
      </c>
      <c r="E39">
        <v>166.49401</v>
      </c>
      <c r="F39">
        <v>162.45642599999999</v>
      </c>
      <c r="G39">
        <v>175</v>
      </c>
      <c r="H39">
        <v>147.232257</v>
      </c>
      <c r="I39">
        <v>3718.7472200000002</v>
      </c>
      <c r="J39" s="1">
        <v>8.9673148299999996E-23</v>
      </c>
      <c r="K39">
        <v>2.7826333399999998</v>
      </c>
      <c r="L39">
        <v>48934.2379</v>
      </c>
      <c r="M39">
        <v>175</v>
      </c>
      <c r="N39">
        <v>150</v>
      </c>
      <c r="O39">
        <v>49675</v>
      </c>
      <c r="P39">
        <v>50000</v>
      </c>
      <c r="Q39">
        <v>4040.97948</v>
      </c>
      <c r="R39">
        <v>48937.020499999999</v>
      </c>
      <c r="S39" s="3">
        <f t="shared" si="1"/>
        <v>100</v>
      </c>
      <c r="T39" s="3">
        <f t="shared" si="1"/>
        <v>98.154838000000012</v>
      </c>
    </row>
    <row r="40" spans="1:20" x14ac:dyDescent="0.3">
      <c r="A40">
        <v>37</v>
      </c>
      <c r="B40" t="s">
        <v>9</v>
      </c>
      <c r="D40">
        <v>5.5</v>
      </c>
      <c r="E40">
        <v>166.496982</v>
      </c>
      <c r="F40">
        <v>162.58585299999999</v>
      </c>
      <c r="G40">
        <v>175</v>
      </c>
      <c r="H40">
        <v>147.76432299999999</v>
      </c>
      <c r="I40">
        <v>3912.8635100000001</v>
      </c>
      <c r="J40" s="1">
        <v>6.6568693900000006E-23</v>
      </c>
      <c r="K40">
        <v>2.2505666099999999</v>
      </c>
      <c r="L40">
        <v>48740.121599999999</v>
      </c>
      <c r="M40">
        <v>175</v>
      </c>
      <c r="N40">
        <v>150</v>
      </c>
      <c r="O40">
        <v>49675</v>
      </c>
      <c r="P40">
        <v>50000</v>
      </c>
      <c r="Q40">
        <v>4235.6278400000001</v>
      </c>
      <c r="R40">
        <v>48742.372199999998</v>
      </c>
      <c r="S40" s="3">
        <f t="shared" si="1"/>
        <v>100</v>
      </c>
      <c r="T40" s="3">
        <f t="shared" si="1"/>
        <v>98.50954866666666</v>
      </c>
    </row>
    <row r="41" spans="1:20" x14ac:dyDescent="0.3">
      <c r="A41">
        <v>38</v>
      </c>
      <c r="B41" t="s">
        <v>9</v>
      </c>
      <c r="D41">
        <v>5.6</v>
      </c>
      <c r="E41">
        <v>166.49939000000001</v>
      </c>
      <c r="F41">
        <v>162.70413099999999</v>
      </c>
      <c r="G41">
        <v>175</v>
      </c>
      <c r="H41">
        <v>148.193769</v>
      </c>
      <c r="I41">
        <v>4107.1926400000002</v>
      </c>
      <c r="J41" s="1">
        <v>4.0077653700000001E-22</v>
      </c>
      <c r="K41">
        <v>1.82112093</v>
      </c>
      <c r="L41">
        <v>48545.792500000003</v>
      </c>
      <c r="M41">
        <v>175</v>
      </c>
      <c r="N41">
        <v>150</v>
      </c>
      <c r="O41">
        <v>49675</v>
      </c>
      <c r="P41">
        <v>50000</v>
      </c>
      <c r="Q41">
        <v>4430.3864100000001</v>
      </c>
      <c r="R41">
        <v>48547.613599999997</v>
      </c>
      <c r="S41" s="3">
        <f t="shared" si="1"/>
        <v>100</v>
      </c>
      <c r="T41" s="3">
        <f t="shared" si="1"/>
        <v>98.795846000000012</v>
      </c>
    </row>
    <row r="42" spans="1:20" x14ac:dyDescent="0.3">
      <c r="A42">
        <v>39</v>
      </c>
      <c r="B42" t="s">
        <v>9</v>
      </c>
      <c r="D42">
        <v>5.7</v>
      </c>
      <c r="E42">
        <v>166.501339</v>
      </c>
      <c r="F42">
        <v>162.81254899999999</v>
      </c>
      <c r="G42">
        <v>175</v>
      </c>
      <c r="H42">
        <v>148.54019</v>
      </c>
      <c r="I42">
        <v>4301.7018500000004</v>
      </c>
      <c r="J42" s="1">
        <v>3.99535525E-25</v>
      </c>
      <c r="K42">
        <v>1.47470049</v>
      </c>
      <c r="L42">
        <v>48351.283300000003</v>
      </c>
      <c r="M42">
        <v>175</v>
      </c>
      <c r="N42">
        <v>150</v>
      </c>
      <c r="O42">
        <v>49675</v>
      </c>
      <c r="P42">
        <v>50000</v>
      </c>
      <c r="Q42">
        <v>4625.2420300000003</v>
      </c>
      <c r="R42">
        <v>48352.758000000002</v>
      </c>
      <c r="S42" s="3">
        <f t="shared" si="1"/>
        <v>100</v>
      </c>
      <c r="T42" s="3">
        <f t="shared" si="1"/>
        <v>99.02679333333333</v>
      </c>
    </row>
    <row r="43" spans="1:20" x14ac:dyDescent="0.3">
      <c r="A43">
        <v>40</v>
      </c>
      <c r="B43" t="s">
        <v>9</v>
      </c>
      <c r="D43">
        <v>5.8</v>
      </c>
      <c r="E43">
        <v>166.50291799999999</v>
      </c>
      <c r="F43">
        <v>162.912215</v>
      </c>
      <c r="G43">
        <v>175</v>
      </c>
      <c r="H43">
        <v>148.819594</v>
      </c>
      <c r="I43">
        <v>4496.3637799999997</v>
      </c>
      <c r="J43" s="1">
        <v>3.1631196499999999E-21</v>
      </c>
      <c r="K43">
        <v>1.1952960500000001</v>
      </c>
      <c r="L43">
        <v>48156.621299999999</v>
      </c>
      <c r="M43">
        <v>175</v>
      </c>
      <c r="N43">
        <v>150</v>
      </c>
      <c r="O43">
        <v>49675</v>
      </c>
      <c r="P43">
        <v>50000</v>
      </c>
      <c r="Q43">
        <v>4820.1833699999997</v>
      </c>
      <c r="R43">
        <v>48157.816599999998</v>
      </c>
      <c r="S43" s="3">
        <f t="shared" si="1"/>
        <v>100</v>
      </c>
      <c r="T43" s="3">
        <f t="shared" si="1"/>
        <v>99.213062666666659</v>
      </c>
    </row>
    <row r="44" spans="1:20" x14ac:dyDescent="0.3">
      <c r="A44">
        <v>41</v>
      </c>
      <c r="B44" t="s">
        <v>9</v>
      </c>
      <c r="D44">
        <v>5.9</v>
      </c>
      <c r="E44">
        <v>166.50419600000001</v>
      </c>
      <c r="F44">
        <v>163.00408400000001</v>
      </c>
      <c r="G44">
        <v>175</v>
      </c>
      <c r="H44">
        <v>149.04499100000001</v>
      </c>
      <c r="I44">
        <v>4691.1556700000001</v>
      </c>
      <c r="J44" s="1">
        <v>4.5033759400000003E-21</v>
      </c>
      <c r="K44">
        <v>0.96989914600000005</v>
      </c>
      <c r="L44">
        <v>47961.829400000002</v>
      </c>
      <c r="M44">
        <v>175</v>
      </c>
      <c r="N44">
        <v>150</v>
      </c>
      <c r="O44">
        <v>49675</v>
      </c>
      <c r="P44">
        <v>50000</v>
      </c>
      <c r="Q44">
        <v>5015.2006600000004</v>
      </c>
      <c r="R44">
        <v>47962.799299999999</v>
      </c>
      <c r="S44" s="3">
        <f t="shared" si="1"/>
        <v>100</v>
      </c>
      <c r="T44" s="3">
        <f t="shared" si="1"/>
        <v>99.363327333333345</v>
      </c>
    </row>
    <row r="45" spans="1:20" x14ac:dyDescent="0.3">
      <c r="A45">
        <v>42</v>
      </c>
      <c r="B45" t="s">
        <v>9</v>
      </c>
      <c r="D45">
        <v>6</v>
      </c>
      <c r="E45">
        <v>166.50523200000001</v>
      </c>
      <c r="F45">
        <v>163.08898600000001</v>
      </c>
      <c r="G45">
        <v>175</v>
      </c>
      <c r="H45">
        <v>149.22690800000001</v>
      </c>
      <c r="I45">
        <v>4886.0585799999999</v>
      </c>
      <c r="J45" s="1">
        <v>3.7898535500000002E-22</v>
      </c>
      <c r="K45">
        <v>0.78798237699999996</v>
      </c>
      <c r="L45">
        <v>47766.926500000001</v>
      </c>
      <c r="M45">
        <v>175</v>
      </c>
      <c r="N45">
        <v>150</v>
      </c>
      <c r="O45">
        <v>49675</v>
      </c>
      <c r="P45">
        <v>50000</v>
      </c>
      <c r="Q45">
        <v>5210.2854900000002</v>
      </c>
      <c r="R45">
        <v>47767.714500000002</v>
      </c>
      <c r="S45" s="3">
        <f t="shared" si="1"/>
        <v>100</v>
      </c>
      <c r="T45" s="3">
        <f t="shared" si="1"/>
        <v>99.484605333333334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Limites</vt:lpstr>
      <vt:lpstr>Dados</vt:lpstr>
      <vt:lpstr>Caso1</vt:lpstr>
      <vt:lpstr>Caso2</vt:lpstr>
      <vt:lpstr>Caso3</vt:lpstr>
      <vt:lpstr>Caso4</vt:lpstr>
      <vt:lpstr>Caso5</vt:lpstr>
      <vt:lpstr>Caso6</vt:lpstr>
      <vt:lpstr>Caso7</vt:lpstr>
      <vt:lpstr>Caso8</vt:lpstr>
      <vt:lpstr>Caso9</vt:lpstr>
      <vt:lpstr>Caso10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2025-11-19T14:22:03Z</dcterms:created>
  <dcterms:modified xsi:type="dcterms:W3CDTF">2026-02-21T23:48:20Z</dcterms:modified>
</cp:coreProperties>
</file>