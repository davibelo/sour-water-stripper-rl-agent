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vib\Downloads\Pesquisa\00-anotacoes-gerais\"/>
    </mc:Choice>
  </mc:AlternateContent>
  <xr:revisionPtr revIDLastSave="0" documentId="13_ncr:1_{E6AC418F-8188-4401-B6AC-58F044710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7" i="1"/>
  <c r="G7" i="1"/>
  <c r="G6" i="1"/>
  <c r="B4" i="1"/>
  <c r="B7" i="1" s="1"/>
  <c r="C4" i="1"/>
  <c r="C7" i="1" s="1"/>
  <c r="E4" i="1"/>
  <c r="E7" i="1" s="1"/>
  <c r="F4" i="1"/>
  <c r="F7" i="1" s="1"/>
  <c r="B3" i="1"/>
  <c r="C3" i="1"/>
  <c r="E3" i="1"/>
  <c r="F3" i="1"/>
  <c r="D3" i="1"/>
  <c r="B6" i="1" l="1"/>
  <c r="B10" i="1"/>
  <c r="C6" i="1"/>
  <c r="C10" i="1"/>
  <c r="E6" i="1"/>
  <c r="E10" i="1"/>
  <c r="F6" i="1"/>
  <c r="F10" i="1"/>
  <c r="D6" i="1"/>
  <c r="D8" i="1" s="1"/>
  <c r="D10" i="1"/>
  <c r="G8" i="1"/>
  <c r="C8" i="1"/>
  <c r="B8" i="1"/>
  <c r="E8" i="1"/>
  <c r="F8" i="1"/>
</calcChain>
</file>

<file path=xl/sharedStrings.xml><?xml version="1.0" encoding="utf-8"?>
<sst xmlns="http://schemas.openxmlformats.org/spreadsheetml/2006/main" count="14" uniqueCount="13">
  <si>
    <t>H2S ppm</t>
  </si>
  <si>
    <t>NH3 ppm</t>
  </si>
  <si>
    <t>Casos</t>
  </si>
  <si>
    <t>H2S f.m.</t>
  </si>
  <si>
    <t>NH3 f.m.</t>
  </si>
  <si>
    <t>H20 f.m.</t>
  </si>
  <si>
    <t>Max H2S Max NH3</t>
  </si>
  <si>
    <t>50% H2S Max NH3</t>
  </si>
  <si>
    <t>Max H2S 50% NH3</t>
  </si>
  <si>
    <t>75% H2S 75% NH3</t>
  </si>
  <si>
    <t>50% H2S 50% NH3</t>
  </si>
  <si>
    <t>25% H2S 25% NH3</t>
  </si>
  <si>
    <t>Total Contaminantes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</si>
</sst>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7" sqref="F17"/>
    </sheetView>
  </sheetViews>
  <sheetFormatPr defaultColWidth="18.88671875" defaultRowHeight="14.4" x14ac:dyDescent="0.3"/>
  <cols>
    <col min="1" max="16384" width="18.88671875" style="1"/>
  </cols>
  <sheetData>
    <row r="1" spans="1:7" x14ac:dyDescent="0.3">
      <c r="A1" s="1" t="s">
        <v>2</v>
      </c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</row>
    <row r="2" spans="1:7" x14ac:dyDescent="0.3">
      <c r="A2" s="1" t="s">
        <v>2</v>
      </c>
      <c r="B2" s="1" t="s">
        <v>11</v>
      </c>
      <c r="C2" s="1" t="s">
        <v>10</v>
      </c>
      <c r="D2" s="1" t="s">
        <v>7</v>
      </c>
      <c r="E2" s="1" t="s">
        <v>9</v>
      </c>
      <c r="F2" s="1" t="s">
        <v>8</v>
      </c>
      <c r="G2" s="1" t="s">
        <v>6</v>
      </c>
    </row>
    <row r="3" spans="1:7" x14ac:dyDescent="0.3">
      <c r="A3" s="1" t="s">
        <v>0</v>
      </c>
      <c r="B3" s="1">
        <f>G3/4</f>
        <v>875</v>
      </c>
      <c r="C3" s="1">
        <f>G3/2</f>
        <v>1750</v>
      </c>
      <c r="D3" s="1">
        <f>G3/2</f>
        <v>1750</v>
      </c>
      <c r="E3" s="1">
        <f>G3*(3/4)</f>
        <v>2625</v>
      </c>
      <c r="F3" s="1">
        <f>G3</f>
        <v>3500</v>
      </c>
      <c r="G3" s="1">
        <v>3500</v>
      </c>
    </row>
    <row r="4" spans="1:7" x14ac:dyDescent="0.3">
      <c r="A4" s="1" t="s">
        <v>1</v>
      </c>
      <c r="B4" s="1">
        <f>G4/4</f>
        <v>750</v>
      </c>
      <c r="C4" s="1">
        <f>G4/2</f>
        <v>1500</v>
      </c>
      <c r="D4" s="1">
        <v>3000</v>
      </c>
      <c r="E4" s="1">
        <f>G4*(3/4)</f>
        <v>2250</v>
      </c>
      <c r="F4" s="1">
        <f>G4/2</f>
        <v>1500</v>
      </c>
      <c r="G4" s="1">
        <v>3000</v>
      </c>
    </row>
    <row r="6" spans="1:7" x14ac:dyDescent="0.3">
      <c r="A6" s="1" t="s">
        <v>3</v>
      </c>
      <c r="B6" s="1">
        <f>B3/(100*10000)</f>
        <v>8.7500000000000002E-4</v>
      </c>
      <c r="C6" s="1">
        <f>C3/(100*10000)</f>
        <v>1.75E-3</v>
      </c>
      <c r="D6" s="1">
        <f>D3/(100*10000)</f>
        <v>1.75E-3</v>
      </c>
      <c r="E6" s="1">
        <f>E3/(100*10000)</f>
        <v>2.6250000000000002E-3</v>
      </c>
      <c r="F6" s="1">
        <f>F3/(100*10000)</f>
        <v>3.5000000000000001E-3</v>
      </c>
      <c r="G6" s="1">
        <f>G3/(100*10000)</f>
        <v>3.5000000000000001E-3</v>
      </c>
    </row>
    <row r="7" spans="1:7" x14ac:dyDescent="0.3">
      <c r="A7" s="1" t="s">
        <v>4</v>
      </c>
      <c r="B7" s="1">
        <f>B4/(100*10000)</f>
        <v>7.5000000000000002E-4</v>
      </c>
      <c r="C7" s="1">
        <f>C4/(100*10000)</f>
        <v>1.5E-3</v>
      </c>
      <c r="D7" s="1">
        <f>D4/(100*10000)</f>
        <v>3.0000000000000001E-3</v>
      </c>
      <c r="E7" s="1">
        <f>E4/(100*10000)</f>
        <v>2.2499999999999998E-3</v>
      </c>
      <c r="F7" s="1">
        <f>F4/(100*10000)</f>
        <v>1.5E-3</v>
      </c>
      <c r="G7" s="1">
        <f>G4/(100*10000)</f>
        <v>3.0000000000000001E-3</v>
      </c>
    </row>
    <row r="8" spans="1:7" x14ac:dyDescent="0.3">
      <c r="A8" s="1" t="s">
        <v>5</v>
      </c>
      <c r="B8" s="1">
        <f>1-(B6+B7)</f>
        <v>0.99837500000000001</v>
      </c>
      <c r="C8" s="1">
        <f>1-(C6+C7)</f>
        <v>0.99675000000000002</v>
      </c>
      <c r="D8" s="1">
        <f>1-(D6+D7)</f>
        <v>0.99524999999999997</v>
      </c>
      <c r="E8" s="1">
        <f>1-(E6+E7)</f>
        <v>0.99512500000000004</v>
      </c>
      <c r="F8" s="1">
        <f>1-(F6+F7)</f>
        <v>0.995</v>
      </c>
      <c r="G8" s="1">
        <f>1-(G6+G7)</f>
        <v>0.99350000000000005</v>
      </c>
    </row>
    <row r="10" spans="1:7" x14ac:dyDescent="0.3">
      <c r="A10" s="1" t="s">
        <v>12</v>
      </c>
      <c r="B10" s="1">
        <f>SUM(B3:B4)</f>
        <v>1625</v>
      </c>
      <c r="C10" s="1">
        <f>SUM(C3:C4)</f>
        <v>3250</v>
      </c>
      <c r="D10" s="1">
        <f>SUM(D3:D4)</f>
        <v>4750</v>
      </c>
      <c r="E10" s="1">
        <f>SUM(E3:E4)</f>
        <v>4875</v>
      </c>
      <c r="F10" s="1">
        <f>SUM(F3:F4)</f>
        <v>5000</v>
      </c>
      <c r="G10" s="1">
        <f t="shared" ref="C10:G10" si="0">SUM(G3:G4)</f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Belo</dc:creator>
  <cp:lastModifiedBy>Office</cp:lastModifiedBy>
  <dcterms:created xsi:type="dcterms:W3CDTF">2015-06-05T18:17:20Z</dcterms:created>
  <dcterms:modified xsi:type="dcterms:W3CDTF">2026-02-21T23:48:11Z</dcterms:modified>
</cp:coreProperties>
</file>